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PycharmProjects\groupesdentaires\"/>
    </mc:Choice>
  </mc:AlternateContent>
  <xr:revisionPtr revIDLastSave="0" documentId="8_{79C8CA6F-BFE5-4F2B-9AB0-E981B4019886}" xr6:coauthVersionLast="47" xr6:coauthVersionMax="47" xr10:uidLastSave="{00000000-0000-0000-0000-000000000000}"/>
  <bookViews>
    <workbookView xWindow="-110" yWindow="-110" windowWidth="29020" windowHeight="17500" tabRatio="666" activeTab="4" xr2:uid="{5C1FB4FD-7564-41CB-B685-9CD5490D3AF0}"/>
  </bookViews>
  <sheets>
    <sheet name="Cover sheet" sheetId="5" r:id="rId1"/>
    <sheet name="Outputs" sheetId="19" r:id="rId2"/>
    <sheet name="Analysis1" sheetId="20" r:id="rId3"/>
    <sheet name="Data &gt;&gt;" sheetId="17" r:id="rId4"/>
    <sheet name="Template for responses" sheetId="21" r:id="rId5"/>
  </sheets>
  <definedNames>
    <definedName name="Link1">#REF!</definedName>
    <definedName name="Link2" localSheetId="2">Analysis1!$F$5</definedName>
    <definedName name="Link2">#REF!</definedName>
    <definedName name="LinkOut">Outputs!$F$5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5" l="1"/>
  <c r="J20" i="20"/>
  <c r="K20" i="20" s="1"/>
  <c r="L20" i="20" s="1"/>
  <c r="M20" i="20" s="1"/>
  <c r="N20" i="20" s="1"/>
  <c r="O20" i="20" s="1"/>
  <c r="P20" i="20" s="1"/>
  <c r="Q20" i="20" s="1"/>
  <c r="I20" i="20"/>
  <c r="F5" i="20" a="1"/>
  <c r="F5" i="20" s="1"/>
  <c r="F5" i="19" a="1"/>
  <c r="F5" i="19" s="1"/>
  <c r="G12" i="5" a="1"/>
  <c r="G12" i="5" s="1"/>
  <c r="F10" i="20" l="1"/>
  <c r="F9" i="20"/>
  <c r="F8" i="20"/>
  <c r="F7" i="20"/>
  <c r="F6" i="20"/>
  <c r="F4" i="20"/>
  <c r="F3" i="20"/>
  <c r="I20" i="19"/>
  <c r="J20" i="19" s="1"/>
  <c r="K20" i="19" s="1"/>
  <c r="F10" i="19"/>
  <c r="F9" i="19"/>
  <c r="F8" i="19"/>
  <c r="F7" i="19"/>
  <c r="F6" i="19"/>
  <c r="F3" i="19"/>
  <c r="E3" i="17"/>
  <c r="I3" i="20" l="1"/>
  <c r="L20" i="19"/>
  <c r="M20" i="19" s="1"/>
  <c r="N20" i="19" s="1"/>
  <c r="O20" i="19" s="1"/>
  <c r="P20" i="19" s="1"/>
  <c r="Q20" i="19" s="1"/>
  <c r="I3" i="19"/>
  <c r="F4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<sst xmlns="http://schemas.openxmlformats.org/spreadsheetml/2006/main" count="229" uniqueCount="108">
  <si>
    <t>Project</t>
  </si>
  <si>
    <t>Healthcheck</t>
  </si>
  <si>
    <t>File</t>
  </si>
  <si>
    <t>Date created</t>
  </si>
  <si>
    <t>Created by</t>
  </si>
  <si>
    <t>Date updated</t>
  </si>
  <si>
    <t>Updated by</t>
  </si>
  <si>
    <t>End</t>
  </si>
  <si>
    <t>Sheet Name</t>
  </si>
  <si>
    <t>[Date created]</t>
  </si>
  <si>
    <t>[Author's name]</t>
  </si>
  <si>
    <t>[Date updated]</t>
  </si>
  <si>
    <t>[Updated by]</t>
  </si>
  <si>
    <t>Model description</t>
  </si>
  <si>
    <t>Green - linked data</t>
  </si>
  <si>
    <t>Blue - input data</t>
  </si>
  <si>
    <t>Black - calculations</t>
  </si>
  <si>
    <t>Cell font guidelines</t>
  </si>
  <si>
    <t xml:space="preserve"> </t>
  </si>
  <si>
    <t>Title 1</t>
  </si>
  <si>
    <t>Title 2</t>
  </si>
  <si>
    <t>Title 3</t>
  </si>
  <si>
    <t>File path</t>
  </si>
  <si>
    <t>30 69 118</t>
  </si>
  <si>
    <t>Title 4</t>
  </si>
  <si>
    <t>Data name here</t>
  </si>
  <si>
    <t>Historical &gt;&gt;</t>
  </si>
  <si>
    <t>Forecast &gt;&gt;</t>
  </si>
  <si>
    <t>217 217 217</t>
  </si>
  <si>
    <t>[Units] | [Data source]</t>
  </si>
  <si>
    <t>Candesic colours (with RGB codes in the box)</t>
  </si>
  <si>
    <t>0 144 188</t>
  </si>
  <si>
    <t>0 183 208</t>
  </si>
  <si>
    <t>55 190 170</t>
  </si>
  <si>
    <t>115 215 200</t>
  </si>
  <si>
    <t>179 232 221</t>
  </si>
  <si>
    <t>238 238 238</t>
  </si>
  <si>
    <t>127 127 127</t>
  </si>
  <si>
    <t/>
  </si>
  <si>
    <t>Respondent</t>
  </si>
  <si>
    <t>#1</t>
  </si>
  <si>
    <t>#2</t>
  </si>
  <si>
    <t>#3</t>
  </si>
  <si>
    <t>Groupe dentaire (centre ou réseau de cabinets)</t>
  </si>
  <si>
    <t>Cabinet individuel indépendant</t>
  </si>
  <si>
    <t>Cabinet de groupe indépendant (plusieurs praticiens)</t>
  </si>
  <si>
    <t>Q1:Current work type</t>
  </si>
  <si>
    <t>Q2:Year started practicing</t>
  </si>
  <si>
    <t>Q3_1: Cabinet individuel indépendant - associé / fondateur</t>
  </si>
  <si>
    <t>Q3_2: Cabinet de groupe indépendant (plusieurs praticiens) - associé / fondateur</t>
  </si>
  <si>
    <t>Q3_3: Salarié(e) dans un cabinet privé</t>
  </si>
  <si>
    <t>Q3_4: Salarié(e) dans un centre ou groupe dentaire</t>
  </si>
  <si>
    <t>Q3_6: C'est ma première expérience professionnelle</t>
  </si>
  <si>
    <t>Q4: Time spent at current place</t>
  </si>
  <si>
    <t>Q5: Score for soutien admin</t>
  </si>
  <si>
    <t>Q6: Score for development professional</t>
  </si>
  <si>
    <t>Q7: Score for formation continue</t>
  </si>
  <si>
    <t>Q8: Score for access technologie</t>
  </si>
  <si>
    <t>Q9: Score for qualite clinique</t>
  </si>
  <si>
    <t>Q10: Score for Presence confreres</t>
  </si>
  <si>
    <t>Q11: Score for satisfaction patients</t>
  </si>
  <si>
    <t>Q12: Score for equilibre vie pro/perso</t>
  </si>
  <si>
    <t>Q13: Score for satisfcation global</t>
  </si>
  <si>
    <t>Q17_1: High level of activity in Soins préventifs</t>
  </si>
  <si>
    <t>Oui, peut-être</t>
  </si>
  <si>
    <t>Non, probablement pas</t>
  </si>
  <si>
    <t>Q14 (when none group): Would you work for global</t>
  </si>
  <si>
    <t>Q15_1(when none group): Perceived advantage_Soutien administratif</t>
  </si>
  <si>
    <t>Q15_2(when none group): Perceived advantage_Accès à des technologies avancées</t>
  </si>
  <si>
    <t>Q15_3(when none group): Perceived advantage_Collaboration avec des confrères</t>
  </si>
  <si>
    <t>Q15_4(when none group): Perceived advantage_Formation continue facilitée</t>
  </si>
  <si>
    <t>Q15_5(when none group): Perceived advantage_Meilleur équilibre vie pro/perso</t>
  </si>
  <si>
    <t>Q15_6(when none group): Perceived advantage_Sécurité financière</t>
  </si>
  <si>
    <t>Q15_7(when none group): Perceived advantage_Je ne perçois pas d'avantages</t>
  </si>
  <si>
    <t>Q16_1(when none group): Perceived disadvantage_Perte d'autonomie clinique</t>
  </si>
  <si>
    <t>Q16_2(when none group): Perceived disadvantage_Pression sur la productivité</t>
  </si>
  <si>
    <t>Q16_3(when none group): Perceived disadvantage_Rémunération moins avantageuse</t>
  </si>
  <si>
    <t>Q16_4(when none group): Perceived disadvantage_Moins de relation personnelle avec les patients</t>
  </si>
  <si>
    <t>Q16_5(when none group): Perceived disadvantage_Standardisation des pratiques</t>
  </si>
  <si>
    <t>Q16_6(when none group): Perceived disadvantage_Je n'ai pas de réticences</t>
  </si>
  <si>
    <t>Q17_2: High level of activity in Soins d'hygiène de base</t>
  </si>
  <si>
    <t>Q17_3: High level of activity in Prothèses fixes et amovibles</t>
  </si>
  <si>
    <t>Q17_4: High level of activity in Implants</t>
  </si>
  <si>
    <t>Q17_5: High level of activity in Orthodontie et soins esthétiques</t>
  </si>
  <si>
    <t>Q18_1: % activity in Soins préventifs</t>
  </si>
  <si>
    <t>Q18_2: % activity in Soins d'hygiène de base</t>
  </si>
  <si>
    <t>Q18_3: % activity in Prothèses fixes et amovibles</t>
  </si>
  <si>
    <t>Q18_4: % activity in Implants</t>
  </si>
  <si>
    <t>Q18_5: % activity in Orthodontie et soins esthétiques</t>
  </si>
  <si>
    <t>Q19_1: High level of activity in Soins préventifs (N5Y)</t>
  </si>
  <si>
    <t>Q19_2: High level of activity in Soins d'hygiène de base (N5Y)</t>
  </si>
  <si>
    <t>Q19_3: High level of activity in Prothèses fixes et amovibles (N5Y)</t>
  </si>
  <si>
    <t>Q19_3: High level of activity in Implants (N5Y)</t>
  </si>
  <si>
    <t>Q19_5: High level of activity in Orthodontie et soins esthétiques (N5Y)</t>
  </si>
  <si>
    <t>Q20_1: % activity in Soins préventifs (N5Y)</t>
  </si>
  <si>
    <t>Q20_2: % activity in Soins d'hygiène de base (N5Y)</t>
  </si>
  <si>
    <t>Q20_3: % activity in Prothèses fixes et amovibles (N5Y)</t>
  </si>
  <si>
    <t>Q20_4: % activity in Implants (N5Y)</t>
  </si>
  <si>
    <t>Q20_5: % activity in Orthodontie et soins esthétiques (N5Y)</t>
  </si>
  <si>
    <t>Q21 (For groups): Name of your current group</t>
  </si>
  <si>
    <t xml:space="preserve">Q22: Can we contact you </t>
  </si>
  <si>
    <t>Q23: Email</t>
  </si>
  <si>
    <t>#4</t>
  </si>
  <si>
    <t>n/a</t>
  </si>
  <si>
    <t>Ardentis</t>
  </si>
  <si>
    <t>Yes</t>
  </si>
  <si>
    <t>No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</si>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</sst>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i/>
      <sz val="8"/>
      <color theme="4" tint="0.39994506668294322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28"/>
      <color theme="0"/>
      <name val="Arial"/>
      <family val="2"/>
    </font>
    <font>
      <sz val="8"/>
      <color theme="0"/>
      <name val="Arial"/>
      <family val="2"/>
    </font>
    <font>
      <sz val="8"/>
      <color theme="4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indexed="9"/>
      <name val="Arial"/>
      <family val="2"/>
    </font>
    <font>
      <sz val="10"/>
      <color theme="4"/>
      <name val="Arial"/>
      <family val="2"/>
    </font>
    <font>
      <b/>
      <sz val="10"/>
      <color rgb="FF0070C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5"/>
      <name val="Arial"/>
      <family val="2"/>
    </font>
    <font>
      <sz val="10"/>
      <color rgb="FF00B050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sz val="11"/>
      <color theme="4"/>
      <name val="Calibri"/>
      <family val="2"/>
      <scheme val="minor"/>
    </font>
    <font>
      <b/>
      <sz val="22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F7F7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medium">
        <color theme="2"/>
      </top>
      <bottom style="medium">
        <color theme="2"/>
      </bottom>
      <diagonal/>
    </border>
    <border>
      <left/>
      <right style="thick">
        <color theme="0"/>
      </right>
      <top style="thick">
        <color theme="5"/>
      </top>
      <bottom style="thick">
        <color theme="5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 applyNumberFormat="0" applyFill="0" applyAlignment="0" applyProtection="0"/>
    <xf numFmtId="0" fontId="5" fillId="2" borderId="0" applyNumberFormat="0" applyBorder="0" applyAlignment="0" applyProtection="0"/>
    <xf numFmtId="0" fontId="7" fillId="0" borderId="0"/>
    <xf numFmtId="0" fontId="8" fillId="0" borderId="0" applyNumberFormat="0" applyBorder="0" applyAlignment="0" applyProtection="0"/>
    <xf numFmtId="0" fontId="9" fillId="5" borderId="0" applyNumberFormat="0" applyBorder="0" applyAlignment="0" applyProtection="0"/>
    <xf numFmtId="9" fontId="10" fillId="6" borderId="2" applyNumberFormat="0" applyBorder="0" applyAlignment="0"/>
  </cellStyleXfs>
  <cellXfs count="60">
    <xf numFmtId="0" fontId="0" fillId="0" borderId="0" xfId="0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3" borderId="0" xfId="0" applyFont="1" applyFill="1" applyAlignment="1">
      <alignment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vertical="center"/>
    </xf>
    <xf numFmtId="14" fontId="19" fillId="3" borderId="0" xfId="0" applyNumberFormat="1" applyFont="1" applyFill="1" applyAlignment="1">
      <alignment horizontal="lef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4" borderId="3" xfId="1" applyFont="1" applyFill="1" applyBorder="1"/>
    <xf numFmtId="0" fontId="24" fillId="8" borderId="0" xfId="2" applyFont="1" applyFill="1" applyAlignment="1">
      <alignment vertical="center"/>
    </xf>
    <xf numFmtId="0" fontId="21" fillId="8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" fillId="5" borderId="0" xfId="0" applyFont="1" applyFill="1"/>
    <xf numFmtId="0" fontId="26" fillId="5" borderId="0" xfId="0" applyFont="1" applyFill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left" vertical="center"/>
    </xf>
    <xf numFmtId="16" fontId="13" fillId="0" borderId="4" xfId="0" applyNumberFormat="1" applyFont="1" applyBorder="1" applyAlignment="1">
      <alignment vertical="center"/>
    </xf>
    <xf numFmtId="0" fontId="27" fillId="0" borderId="5" xfId="0" applyFont="1" applyBorder="1" applyAlignment="1">
      <alignment vertical="center" wrapText="1"/>
    </xf>
    <xf numFmtId="0" fontId="28" fillId="0" borderId="4" xfId="0" applyFont="1" applyBorder="1" applyAlignment="1">
      <alignment vertical="center"/>
    </xf>
    <xf numFmtId="0" fontId="20" fillId="10" borderId="0" xfId="0" applyFont="1" applyFill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9" fillId="5" borderId="0" xfId="0" applyFont="1" applyFill="1"/>
    <xf numFmtId="0" fontId="16" fillId="0" borderId="0" xfId="0" applyFont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8" fillId="0" borderId="9" xfId="0" applyFont="1" applyBorder="1" applyAlignment="1">
      <alignment vertical="center"/>
    </xf>
    <xf numFmtId="14" fontId="18" fillId="0" borderId="9" xfId="0" applyNumberFormat="1" applyFont="1" applyBorder="1" applyAlignment="1">
      <alignment horizontal="left"/>
    </xf>
    <xf numFmtId="0" fontId="18" fillId="0" borderId="11" xfId="0" applyFont="1" applyBorder="1" applyAlignment="1">
      <alignment vertical="center"/>
    </xf>
    <xf numFmtId="0" fontId="21" fillId="0" borderId="6" xfId="0" applyFont="1" applyBorder="1" applyAlignment="1">
      <alignment horizontal="right"/>
    </xf>
    <xf numFmtId="0" fontId="21" fillId="0" borderId="8" xfId="0" applyFont="1" applyBorder="1" applyAlignment="1">
      <alignment horizontal="right"/>
    </xf>
    <xf numFmtId="0" fontId="21" fillId="0" borderId="10" xfId="0" applyFont="1" applyBorder="1" applyAlignment="1">
      <alignment horizontal="right"/>
    </xf>
    <xf numFmtId="0" fontId="19" fillId="3" borderId="0" xfId="0" quotePrefix="1" applyFont="1" applyFill="1" applyAlignment="1">
      <alignment vertical="center"/>
    </xf>
    <xf numFmtId="0" fontId="30" fillId="4" borderId="12" xfId="0" applyFont="1" applyFill="1" applyBorder="1"/>
    <xf numFmtId="0" fontId="31" fillId="4" borderId="12" xfId="0" applyFont="1" applyFill="1" applyBorder="1"/>
    <xf numFmtId="0" fontId="0" fillId="0" borderId="12" xfId="0" applyBorder="1"/>
    <xf numFmtId="0" fontId="0" fillId="0" borderId="12" xfId="0" applyBorder="1" applyAlignment="1">
      <alignment wrapText="1"/>
    </xf>
  </cellXfs>
  <cellStyles count="7">
    <cellStyle name="40% - Accent1" xfId="2" builtinId="31"/>
    <cellStyle name="Heading 1" xfId="1" builtinId="16"/>
    <cellStyle name="Lookup value" xfId="6" xr:uid="{6BF7543F-539D-4B82-8C7F-5EB519219AA7}"/>
    <cellStyle name="Normal" xfId="0" builtinId="0"/>
    <cellStyle name="Normal 2 4" xfId="3" xr:uid="{DCCCBD45-15E8-4DCF-BC9B-509E16880347}"/>
    <cellStyle name="Placeholder assumption" xfId="5" xr:uid="{D339AE0A-47D8-4832-A2D8-6F74823DB232}"/>
    <cellStyle name="Source" xfId="4" xr:uid="{29B4EA16-B30B-49FA-B1D1-30E46A1A1561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F7F7F"/>
      <color rgb="FFD9D9D9"/>
      <color rgb="FFEEEEEE"/>
      <color rgb="FFFFC000"/>
      <color rgb="FF595959"/>
      <color rgb="FFBFBFBF"/>
      <color rgb="FFFFC7CE"/>
      <color rgb="FFC6EFCE"/>
      <color rgb="FF00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138248</xdr:colOff>
      <xdr:row>1</xdr:row>
      <xdr:rowOff>121923</xdr:rowOff>
    </xdr:from>
    <xdr:to>
      <xdr:col>6</xdr:col>
      <xdr:colOff>555277</xdr:colOff>
      <xdr:row>6</xdr:row>
      <xdr:rowOff>86429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6D4CB32-46E6-46A0-9078-3640F49E4666}"/>
            </a:ext>
          </a:extLst>
        </xdr:cNvPr>
        <xdr:cNvGrpSpPr/>
      </xdr:nvGrpSpPr>
      <xdr:grpSpPr>
        <a:xfrm>
          <a:off x="138248" y="306073"/>
          <a:ext cx="3039579" cy="885256"/>
          <a:chOff x="9180908" y="4594860"/>
          <a:chExt cx="3064433" cy="897419"/>
        </a:xfrm>
      </xdr:grpSpPr>
      <xdr:sp macro="" textlink="">
        <xdr:nvSpPr>
          <xdr:cNvPr id="3" name="Text Box 1065">
            <a:extLst>
              <a:ext uri="{FF2B5EF4-FFF2-40B4-BE49-F238E27FC236}">
                <a16:creationId xmlns:a16="http://schemas.microsoft.com/office/drawing/2014/main" id="{F54E6979-08A1-746C-703E-7331CC7F2A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80908" y="5226487"/>
            <a:ext cx="3064433" cy="265792"/>
          </a:xfrm>
          <a:prstGeom prst="rect">
            <a:avLst/>
          </a:prstGeom>
          <a:noFill/>
          <a:ln>
            <a:noFill/>
          </a:ln>
        </xdr:spPr>
        <xdr:txBody>
          <a:bodyPr wrap="square" lIns="91269" tIns="45635" rIns="91269" bIns="45635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3348">
              <a:spcBef>
                <a:spcPct val="50000"/>
              </a:spcBef>
              <a:defRPr/>
            </a:pPr>
            <a:r>
              <a:rPr lang="en-US" sz="1100" b="1">
                <a:solidFill>
                  <a:srgbClr val="000000"/>
                </a:solidFill>
                <a:latin typeface="Arial" charset="0"/>
              </a:rPr>
              <a:t>CEO level clarity with R&amp;D level insight</a:t>
            </a:r>
          </a:p>
        </xdr:txBody>
      </xdr:sp>
      <xdr:pic>
        <xdr:nvPicPr>
          <xdr:cNvPr id="4" name="Picture 3" descr="Blue letters on a black background&#10;&#10;Description automatically generated">
            <a:extLst>
              <a:ext uri="{FF2B5EF4-FFF2-40B4-BE49-F238E27FC236}">
                <a16:creationId xmlns:a16="http://schemas.microsoft.com/office/drawing/2014/main" id="{F3D2D83D-A8E4-2BE6-8105-BF284E52AE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402767" y="4594860"/>
            <a:ext cx="2614184" cy="61638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44546A"/>
      </a:dk2>
      <a:lt2>
        <a:srgbClr val="EEEEEE"/>
      </a:lt2>
      <a:accent1>
        <a:srgbClr val="1E4576"/>
      </a:accent1>
      <a:accent2>
        <a:srgbClr val="0072BC"/>
      </a:accent2>
      <a:accent3>
        <a:srgbClr val="00B7D0"/>
      </a:accent3>
      <a:accent4>
        <a:srgbClr val="37BEAA"/>
      </a:accent4>
      <a:accent5>
        <a:srgbClr val="73D7C8"/>
      </a:accent5>
      <a:accent6>
        <a:srgbClr val="B3E8DD"/>
      </a:accent6>
      <a:hlink>
        <a:srgbClr val="EEEEEE"/>
      </a:hlink>
      <a:folHlink>
        <a:srgbClr val="D9D9D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7A11-FE22-445E-A82A-0C138EA3402F}">
  <sheetPr>
    <tabColor theme="0"/>
  </sheetPr>
  <dimension ref="A1:J21"/>
  <sheetViews>
    <sheetView showGridLines="0" zoomScaleNormal="100" workbookViewId="0"/>
  </sheetViews>
  <sheetFormatPr defaultColWidth="0" defaultRowHeight="14.5" zeroHeight="1" x14ac:dyDescent="0.35"/>
  <cols>
    <col min="1" max="4" width="3.36328125" style="1" customWidth="1"/>
    <col min="5" max="5" width="13" style="1" bestFit="1" customWidth="1"/>
    <col min="6" max="6" width="11.08984375" style="1" customWidth="1"/>
    <col min="7" max="7" width="30.36328125" style="1" customWidth="1"/>
    <col min="8" max="10" width="7.08984375" style="1" customWidth="1"/>
    <col min="11" max="28" width="7.08984375" style="1" hidden="1" customWidth="1"/>
    <col min="29" max="16384" width="7.08984375" style="1" hidden="1"/>
  </cols>
  <sheetData>
    <row r="1" spans="5:10" x14ac:dyDescent="0.35"/>
    <row r="2" spans="5:10" ht="14.75" customHeight="1" x14ac:dyDescent="0.35">
      <c r="E2" s="2"/>
    </row>
    <row r="3" spans="5:10" ht="14.75" customHeight="1" x14ac:dyDescent="0.35">
      <c r="E3" s="2"/>
    </row>
    <row r="4" spans="5:10" ht="14.75" customHeight="1" x14ac:dyDescent="0.35">
      <c r="E4" s="2"/>
    </row>
    <row r="5" spans="5:10" ht="14.75" customHeight="1" x14ac:dyDescent="0.35">
      <c r="E5" s="2"/>
    </row>
    <row r="6" spans="5:10" x14ac:dyDescent="0.35"/>
    <row r="7" spans="5:10" x14ac:dyDescent="0.35"/>
    <row r="8" spans="5:10" x14ac:dyDescent="0.35"/>
    <row r="9" spans="5:10" ht="15" thickBot="1" x14ac:dyDescent="0.4"/>
    <row r="10" spans="5:10" ht="15.5" thickTop="1" thickBot="1" x14ac:dyDescent="0.4">
      <c r="F10" s="34" t="s">
        <v>0</v>
      </c>
      <c r="G10" s="31"/>
      <c r="H10" s="3"/>
      <c r="I10" s="3"/>
      <c r="J10" s="3"/>
    </row>
    <row r="11" spans="5:10" ht="15.5" thickTop="1" thickBot="1" x14ac:dyDescent="0.4">
      <c r="F11" s="34" t="s">
        <v>2</v>
      </c>
      <c r="G11" s="31" t="str">
        <f ca="1">MID(CELL("filename",A1),FIND("[",CELL("filename",A1))+1,FIND("]", CELL("filename",A1))-FIND("[",CELL("filename",A1))-1)</f>
        <v>Template for dentist survey output.xlsx</v>
      </c>
      <c r="H11" s="3"/>
      <c r="I11" s="3"/>
      <c r="J11" s="3"/>
    </row>
    <row r="12" spans="5:10" ht="15.5" thickTop="1" thickBot="1" x14ac:dyDescent="0.4">
      <c r="F12" s="34" t="s">
        <v>22</v>
      </c>
      <c r="G12" s="31" t="str" cm="1">
        <f t="array" aca="1" ref="G12" ca="1">IFERROR(RIGHT(CELL("filename"),(LEN(CELL("filename"))-FIND("sites/",CELL("filename")))-5),"Waiting for file to save online")</f>
        <v>ADT001ArdentisVCDD/Shared Documents/ADT001 Ardentis VCDD/Survey/Dentists survey/[Template for dentist survey output.xlsx]Template for responses</v>
      </c>
      <c r="H12" s="3"/>
      <c r="I12" s="3"/>
      <c r="J12" s="3"/>
    </row>
    <row r="13" spans="5:10" ht="15.5" thickTop="1" thickBot="1" x14ac:dyDescent="0.4">
      <c r="F13" s="34" t="s">
        <v>3</v>
      </c>
      <c r="G13" s="32" t="s">
        <v>9</v>
      </c>
      <c r="H13" s="3"/>
      <c r="I13" s="3"/>
      <c r="J13" s="3"/>
    </row>
    <row r="14" spans="5:10" ht="15.5" thickTop="1" thickBot="1" x14ac:dyDescent="0.4">
      <c r="F14" s="34" t="s">
        <v>4</v>
      </c>
      <c r="G14" s="31" t="s">
        <v>10</v>
      </c>
      <c r="H14" s="3"/>
      <c r="I14" s="3"/>
      <c r="J14" s="3"/>
    </row>
    <row r="15" spans="5:10" ht="15.5" thickTop="1" thickBot="1" x14ac:dyDescent="0.4">
      <c r="F15" s="34" t="s">
        <v>5</v>
      </c>
      <c r="G15" s="33" t="s">
        <v>11</v>
      </c>
      <c r="H15" s="3"/>
      <c r="I15" s="3"/>
      <c r="J15" s="3"/>
    </row>
    <row r="16" spans="5:10" ht="15.5" thickTop="1" thickBot="1" x14ac:dyDescent="0.4">
      <c r="F16" s="34" t="s">
        <v>6</v>
      </c>
      <c r="G16" s="31" t="s">
        <v>12</v>
      </c>
      <c r="H16" s="3"/>
      <c r="I16" s="3"/>
      <c r="J16" s="3"/>
    </row>
    <row r="17" spans="6:7" ht="68.150000000000006" customHeight="1" thickTop="1" thickBot="1" x14ac:dyDescent="0.4">
      <c r="F17" s="34" t="s">
        <v>13</v>
      </c>
      <c r="G17" s="35"/>
    </row>
    <row r="18" spans="6:7" ht="15" thickTop="1" x14ac:dyDescent="0.35"/>
    <row r="19" spans="6:7" x14ac:dyDescent="0.35"/>
    <row r="20" spans="6:7" x14ac:dyDescent="0.35"/>
    <row r="21" spans="6:7" hidden="1" x14ac:dyDescent="0.35">
      <c r="F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5C43-678A-4961-A0CC-BDCDAEA971DB}">
  <dimension ref="A1:V321"/>
  <sheetViews>
    <sheetView showGridLines="0" zoomScale="85" zoomScaleNormal="85" workbookViewId="0"/>
  </sheetViews>
  <sheetFormatPr defaultColWidth="7.08984375" defaultRowHeight="12.5" x14ac:dyDescent="0.35"/>
  <cols>
    <col min="1" max="4" width="3.36328125" style="4" customWidth="1"/>
    <col min="5" max="5" width="36.6328125" style="4" customWidth="1"/>
    <col min="6" max="6" width="42" style="4" customWidth="1"/>
    <col min="7" max="7" width="18.453125" style="4" customWidth="1"/>
    <col min="8" max="22" width="12.6328125" style="4" customWidth="1"/>
    <col min="23" max="25" width="9" style="4" customWidth="1"/>
    <col min="26" max="26" width="10.36328125" style="4" customWidth="1"/>
    <col min="27" max="16384" width="7.08984375" style="4"/>
  </cols>
  <sheetData>
    <row r="1" spans="1:12" ht="12.9" customHeight="1" x14ac:dyDescent="0.35"/>
    <row r="2" spans="1:12" s="5" customFormat="1" ht="12.9" customHeight="1" thickBot="1" x14ac:dyDescent="0.4">
      <c r="A2" s="18"/>
      <c r="E2" s="47"/>
      <c r="F2" s="47"/>
      <c r="G2" s="6"/>
      <c r="H2" s="6"/>
      <c r="I2" s="6"/>
      <c r="J2" s="18"/>
    </row>
    <row r="3" spans="1:12" s="18" customFormat="1" ht="12.9" customHeight="1" thickTop="1" x14ac:dyDescent="0.3">
      <c r="E3" s="52" t="s">
        <v>0</v>
      </c>
      <c r="F3" s="48">
        <f>'Cover sheet'!G10</f>
        <v>0</v>
      </c>
      <c r="G3" s="7"/>
      <c r="H3" s="8" t="s">
        <v>1</v>
      </c>
      <c r="I3" s="18" t="b">
        <f>IF(COUNTIF(12:9756,"FALSE")=0,TRUE,FALSE)</f>
        <v>1</v>
      </c>
      <c r="K3" s="22" t="s">
        <v>30</v>
      </c>
    </row>
    <row r="4" spans="1:12" s="18" customFormat="1" ht="12.9" customHeight="1" x14ac:dyDescent="0.3">
      <c r="E4" s="53" t="s">
        <v>2</v>
      </c>
      <c r="F4" s="49" t="str">
        <f ca="1">'Cover sheet'!G11</f>
        <v>Template for dentist survey output.xlsx</v>
      </c>
      <c r="G4" s="55" t="s">
        <v>38</v>
      </c>
      <c r="K4" s="19" t="s">
        <v>23</v>
      </c>
      <c r="L4" s="39" t="s">
        <v>35</v>
      </c>
    </row>
    <row r="5" spans="1:12" s="18" customFormat="1" ht="12.9" customHeight="1" x14ac:dyDescent="0.3">
      <c r="E5" s="53" t="s">
        <v>22</v>
      </c>
      <c r="F5" s="49" t="str" cm="1">
        <f t="array" aca="1" ref="F5" ca="1">IFERROR(RIGHT(CELL("filename"),(LEN(CELL("filename"))-FIND("sites/",CELL("filename")))-5),"Waiting for file to save online")</f>
        <v>ADT001ArdentisVCDD/Shared Documents/ADT001 Ardentis VCDD/Survey/Dentists survey/[Template for dentist survey output.xlsx]Template for responses</v>
      </c>
      <c r="G5" s="55" t="s">
        <v>38</v>
      </c>
      <c r="K5" s="20" t="s">
        <v>31</v>
      </c>
      <c r="L5" s="41" t="s">
        <v>36</v>
      </c>
    </row>
    <row r="6" spans="1:12" s="18" customFormat="1" ht="12.9" customHeight="1" x14ac:dyDescent="0.3">
      <c r="E6" s="53" t="s">
        <v>8</v>
      </c>
      <c r="F6" s="49" t="str">
        <f ca="1">RIGHT(CELL("filename",D9),LEN(CELL("filename",D9))-FIND("]",CELL("filename",D9)))</f>
        <v>Outputs</v>
      </c>
      <c r="G6" s="7"/>
      <c r="H6" s="9" t="s">
        <v>17</v>
      </c>
      <c r="K6" s="40" t="s">
        <v>32</v>
      </c>
      <c r="L6" s="42" t="s">
        <v>28</v>
      </c>
    </row>
    <row r="7" spans="1:12" s="18" customFormat="1" ht="12.9" customHeight="1" x14ac:dyDescent="0.3">
      <c r="E7" s="53" t="s">
        <v>3</v>
      </c>
      <c r="F7" s="50" t="str">
        <f>'Cover sheet'!G13</f>
        <v>[Date created]</v>
      </c>
      <c r="G7" s="10"/>
      <c r="H7" s="11" t="s">
        <v>15</v>
      </c>
      <c r="K7" s="45" t="s">
        <v>33</v>
      </c>
      <c r="L7" s="43" t="s">
        <v>37</v>
      </c>
    </row>
    <row r="8" spans="1:12" s="18" customFormat="1" ht="12.9" customHeight="1" x14ac:dyDescent="0.3">
      <c r="E8" s="53" t="s">
        <v>4</v>
      </c>
      <c r="F8" s="50" t="str">
        <f>'Cover sheet'!G14</f>
        <v>[Author's name]</v>
      </c>
      <c r="G8" s="10"/>
      <c r="H8" s="18" t="s">
        <v>16</v>
      </c>
      <c r="K8" s="38" t="s">
        <v>34</v>
      </c>
      <c r="L8" s="21"/>
    </row>
    <row r="9" spans="1:12" s="18" customFormat="1" ht="12.9" customHeight="1" x14ac:dyDescent="0.3">
      <c r="E9" s="53" t="s">
        <v>5</v>
      </c>
      <c r="F9" s="50" t="str">
        <f>'Cover sheet'!G15</f>
        <v>[Date updated]</v>
      </c>
      <c r="G9" s="10"/>
      <c r="H9" s="12" t="s">
        <v>14</v>
      </c>
    </row>
    <row r="10" spans="1:12" s="18" customFormat="1" ht="12.9" customHeight="1" thickBot="1" x14ac:dyDescent="0.35">
      <c r="E10" s="54" t="s">
        <v>6</v>
      </c>
      <c r="F10" s="51" t="str">
        <f>'Cover sheet'!G16</f>
        <v>[Updated by]</v>
      </c>
      <c r="G10" s="7"/>
    </row>
    <row r="11" spans="1:12" ht="12.9" customHeight="1" thickTop="1" x14ac:dyDescent="0.35"/>
    <row r="12" spans="1:12" s="13" customFormat="1" ht="12.9" customHeight="1" x14ac:dyDescent="0.3">
      <c r="B12" s="13" t="s">
        <v>19</v>
      </c>
    </row>
    <row r="13" spans="1:12" ht="12.9" customHeight="1" x14ac:dyDescent="0.35"/>
    <row r="14" spans="1:12" s="14" customFormat="1" ht="12.9" customHeight="1" x14ac:dyDescent="0.35">
      <c r="B14" s="15"/>
      <c r="C14" s="16" t="s">
        <v>20</v>
      </c>
    </row>
    <row r="15" spans="1:12" ht="12.9" customHeight="1" x14ac:dyDescent="0.35">
      <c r="D15" s="4" t="s">
        <v>18</v>
      </c>
    </row>
    <row r="16" spans="1:12" s="17" customFormat="1" ht="12.9" customHeight="1" x14ac:dyDescent="0.35">
      <c r="D16" s="37" t="s">
        <v>21</v>
      </c>
    </row>
    <row r="17" spans="1:22" ht="12.9" customHeight="1" x14ac:dyDescent="0.35"/>
    <row r="18" spans="1:22" ht="12.9" customHeight="1" x14ac:dyDescent="0.35">
      <c r="E18" s="23" t="s">
        <v>24</v>
      </c>
    </row>
    <row r="19" spans="1:22" ht="12.9" customHeight="1" x14ac:dyDescent="0.35">
      <c r="E19" s="23"/>
      <c r="H19" s="44" t="s">
        <v>26</v>
      </c>
      <c r="I19" s="24"/>
      <c r="J19" s="24"/>
      <c r="K19" s="24"/>
      <c r="L19" s="24"/>
      <c r="M19" s="36" t="s">
        <v>27</v>
      </c>
      <c r="N19" s="25"/>
      <c r="O19" s="25"/>
      <c r="P19" s="25"/>
      <c r="Q19" s="25"/>
      <c r="R19" s="26"/>
      <c r="S19" s="26"/>
      <c r="T19" s="26"/>
      <c r="U19" s="26"/>
      <c r="V19" s="26"/>
    </row>
    <row r="20" spans="1:22" ht="12.9" customHeight="1" x14ac:dyDescent="0.35">
      <c r="H20" s="28">
        <v>2020</v>
      </c>
      <c r="I20" s="28">
        <f>H20+1</f>
        <v>2021</v>
      </c>
      <c r="J20" s="28">
        <f t="shared" ref="J20:Q20" si="0">I20+1</f>
        <v>2022</v>
      </c>
      <c r="K20" s="28">
        <f t="shared" si="0"/>
        <v>2023</v>
      </c>
      <c r="L20" s="28">
        <f t="shared" si="0"/>
        <v>2024</v>
      </c>
      <c r="M20" s="28">
        <f t="shared" si="0"/>
        <v>2025</v>
      </c>
      <c r="N20" s="28">
        <f t="shared" si="0"/>
        <v>2026</v>
      </c>
      <c r="O20" s="28">
        <f t="shared" si="0"/>
        <v>2027</v>
      </c>
      <c r="P20" s="28">
        <f t="shared" si="0"/>
        <v>2028</v>
      </c>
      <c r="Q20" s="28">
        <f t="shared" si="0"/>
        <v>2029</v>
      </c>
      <c r="R20" s="27"/>
      <c r="S20" s="27"/>
      <c r="T20" s="27"/>
      <c r="U20" s="27"/>
      <c r="V20" s="27"/>
    </row>
    <row r="21" spans="1:22" ht="12.9" customHeight="1" x14ac:dyDescent="0.35">
      <c r="F21" s="4" t="s">
        <v>25</v>
      </c>
      <c r="G21" s="4" t="s">
        <v>29</v>
      </c>
    </row>
    <row r="22" spans="1:22" ht="12.9" customHeight="1" x14ac:dyDescent="0.35">
      <c r="F22" s="4" t="s">
        <v>25</v>
      </c>
      <c r="G22" s="4" t="s">
        <v>29</v>
      </c>
    </row>
    <row r="23" spans="1:22" ht="12.9" customHeight="1" x14ac:dyDescent="0.35">
      <c r="F23" s="4" t="s">
        <v>25</v>
      </c>
      <c r="G23" s="4" t="s">
        <v>29</v>
      </c>
    </row>
    <row r="24" spans="1:22" ht="12.9" customHeight="1" x14ac:dyDescent="0.35">
      <c r="F24" s="4" t="s">
        <v>25</v>
      </c>
      <c r="G24" s="4" t="s">
        <v>29</v>
      </c>
    </row>
    <row r="25" spans="1:22" ht="12.9" customHeight="1" x14ac:dyDescent="0.35"/>
    <row r="26" spans="1:22" ht="12.9" customHeight="1" x14ac:dyDescent="0.35"/>
    <row r="27" spans="1:22" ht="12.9" customHeight="1" x14ac:dyDescent="0.35"/>
    <row r="28" spans="1:22" s="13" customFormat="1" ht="12.9" customHeight="1" x14ac:dyDescent="0.3">
      <c r="A28" s="13" t="s">
        <v>7</v>
      </c>
      <c r="B28" s="13" t="s">
        <v>7</v>
      </c>
      <c r="C28" s="13" t="s">
        <v>7</v>
      </c>
      <c r="D28" s="13" t="s">
        <v>7</v>
      </c>
      <c r="E28" s="13" t="s">
        <v>7</v>
      </c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  <c r="O28" s="13" t="s">
        <v>7</v>
      </c>
      <c r="P28" s="13" t="s">
        <v>7</v>
      </c>
      <c r="Q28" s="13" t="s">
        <v>7</v>
      </c>
      <c r="R28" s="13" t="s">
        <v>7</v>
      </c>
      <c r="S28" s="13" t="s">
        <v>7</v>
      </c>
      <c r="T28" s="13" t="s">
        <v>7</v>
      </c>
      <c r="U28" s="13" t="s">
        <v>7</v>
      </c>
      <c r="V28" s="13" t="s">
        <v>7</v>
      </c>
    </row>
    <row r="29" spans="1:22" ht="12.9" customHeight="1" x14ac:dyDescent="0.35"/>
    <row r="30" spans="1:22" ht="12.9" customHeight="1" x14ac:dyDescent="0.35"/>
    <row r="31" spans="1:22" ht="12.9" customHeight="1" x14ac:dyDescent="0.35"/>
    <row r="32" spans="1:22" ht="12.9" customHeight="1" x14ac:dyDescent="0.35"/>
    <row r="33" ht="12.9" customHeight="1" x14ac:dyDescent="0.35"/>
    <row r="34" ht="12.9" customHeight="1" x14ac:dyDescent="0.35"/>
    <row r="35" ht="12.9" customHeight="1" x14ac:dyDescent="0.35"/>
    <row r="36" ht="12.9" customHeight="1" x14ac:dyDescent="0.35"/>
    <row r="37" ht="12.9" customHeight="1" x14ac:dyDescent="0.35"/>
    <row r="38" ht="12.9" customHeight="1" x14ac:dyDescent="0.35"/>
    <row r="39" ht="12.9" customHeight="1" x14ac:dyDescent="0.35"/>
    <row r="40" ht="12.9" customHeight="1" x14ac:dyDescent="0.35"/>
    <row r="41" ht="12.9" customHeight="1" x14ac:dyDescent="0.35"/>
    <row r="42" ht="12.9" customHeight="1" x14ac:dyDescent="0.35"/>
    <row r="43" ht="12.9" customHeight="1" x14ac:dyDescent="0.35"/>
    <row r="44" ht="12.9" customHeight="1" x14ac:dyDescent="0.35"/>
    <row r="45" ht="12.9" customHeight="1" x14ac:dyDescent="0.35"/>
    <row r="46" ht="12.9" customHeight="1" x14ac:dyDescent="0.35"/>
    <row r="47" ht="12.9" customHeight="1" x14ac:dyDescent="0.35"/>
    <row r="48" ht="12.9" customHeight="1" x14ac:dyDescent="0.35"/>
    <row r="49" ht="12.9" customHeight="1" x14ac:dyDescent="0.35"/>
    <row r="50" ht="12.9" customHeight="1" x14ac:dyDescent="0.35"/>
    <row r="51" ht="12.9" customHeight="1" x14ac:dyDescent="0.35"/>
    <row r="52" ht="12.9" customHeight="1" x14ac:dyDescent="0.35"/>
    <row r="53" ht="12.9" customHeight="1" x14ac:dyDescent="0.35"/>
    <row r="54" ht="12.9" customHeight="1" x14ac:dyDescent="0.35"/>
    <row r="55" ht="12.9" customHeight="1" x14ac:dyDescent="0.35"/>
    <row r="56" ht="12.9" customHeight="1" x14ac:dyDescent="0.35"/>
    <row r="57" ht="12.9" customHeight="1" x14ac:dyDescent="0.35"/>
    <row r="58" ht="12.9" customHeight="1" x14ac:dyDescent="0.35"/>
    <row r="59" ht="12.9" customHeight="1" x14ac:dyDescent="0.35"/>
    <row r="60" ht="12.9" customHeight="1" x14ac:dyDescent="0.35"/>
    <row r="61" ht="12.9" customHeight="1" x14ac:dyDescent="0.35"/>
    <row r="62" ht="12.9" customHeight="1" x14ac:dyDescent="0.35"/>
    <row r="63" ht="12.9" customHeight="1" x14ac:dyDescent="0.35"/>
    <row r="64" ht="12.9" customHeight="1" x14ac:dyDescent="0.35"/>
    <row r="65" ht="12.9" customHeight="1" x14ac:dyDescent="0.35"/>
    <row r="66" ht="12.9" customHeight="1" x14ac:dyDescent="0.35"/>
    <row r="67" ht="12.9" customHeight="1" x14ac:dyDescent="0.35"/>
    <row r="68" ht="12.9" customHeight="1" x14ac:dyDescent="0.35"/>
    <row r="69" ht="12.9" customHeight="1" x14ac:dyDescent="0.35"/>
    <row r="70" ht="12.9" customHeight="1" x14ac:dyDescent="0.35"/>
    <row r="71" ht="12.9" customHeight="1" x14ac:dyDescent="0.35"/>
    <row r="72" ht="12.9" customHeight="1" x14ac:dyDescent="0.35"/>
    <row r="73" ht="12.9" customHeight="1" x14ac:dyDescent="0.35"/>
    <row r="74" ht="12.9" customHeight="1" x14ac:dyDescent="0.35"/>
    <row r="75" ht="12.9" customHeight="1" x14ac:dyDescent="0.35"/>
    <row r="76" ht="12.9" customHeight="1" x14ac:dyDescent="0.35"/>
    <row r="77" ht="12.9" customHeight="1" x14ac:dyDescent="0.35"/>
    <row r="78" ht="12.9" customHeight="1" x14ac:dyDescent="0.35"/>
    <row r="79" ht="12.9" customHeight="1" x14ac:dyDescent="0.35"/>
    <row r="80" ht="12.9" customHeight="1" x14ac:dyDescent="0.35"/>
    <row r="81" ht="12.9" customHeight="1" x14ac:dyDescent="0.35"/>
    <row r="82" ht="12.9" customHeight="1" x14ac:dyDescent="0.35"/>
    <row r="83" ht="12.9" customHeight="1" x14ac:dyDescent="0.35"/>
    <row r="84" ht="12.9" customHeight="1" x14ac:dyDescent="0.35"/>
    <row r="85" ht="12.9" customHeight="1" x14ac:dyDescent="0.35"/>
    <row r="86" ht="12.9" customHeight="1" x14ac:dyDescent="0.35"/>
    <row r="87" ht="12.9" customHeight="1" x14ac:dyDescent="0.35"/>
    <row r="88" ht="12.9" customHeight="1" x14ac:dyDescent="0.35"/>
    <row r="89" ht="12.9" customHeight="1" x14ac:dyDescent="0.35"/>
    <row r="90" ht="12.9" customHeight="1" x14ac:dyDescent="0.35"/>
    <row r="91" ht="12.9" customHeight="1" x14ac:dyDescent="0.35"/>
    <row r="92" ht="12.9" customHeight="1" x14ac:dyDescent="0.35"/>
    <row r="93" ht="12.9" customHeight="1" x14ac:dyDescent="0.35"/>
    <row r="94" ht="12.9" customHeight="1" x14ac:dyDescent="0.35"/>
    <row r="95" ht="12.9" customHeight="1" x14ac:dyDescent="0.35"/>
    <row r="96" ht="12.9" customHeight="1" x14ac:dyDescent="0.35"/>
    <row r="97" ht="12.9" customHeight="1" x14ac:dyDescent="0.35"/>
    <row r="98" ht="12.9" customHeight="1" x14ac:dyDescent="0.35"/>
    <row r="99" ht="12.9" customHeight="1" x14ac:dyDescent="0.35"/>
    <row r="100" ht="12.9" customHeight="1" x14ac:dyDescent="0.35"/>
    <row r="101" ht="12.9" customHeight="1" x14ac:dyDescent="0.35"/>
    <row r="102" ht="12.9" customHeight="1" x14ac:dyDescent="0.35"/>
    <row r="103" ht="12.9" customHeight="1" x14ac:dyDescent="0.35"/>
    <row r="104" ht="12.9" customHeight="1" x14ac:dyDescent="0.35"/>
    <row r="105" ht="12.9" customHeight="1" x14ac:dyDescent="0.35"/>
    <row r="106" ht="12.9" customHeight="1" x14ac:dyDescent="0.35"/>
    <row r="107" ht="12.9" customHeight="1" x14ac:dyDescent="0.35"/>
    <row r="108" ht="12.9" customHeight="1" x14ac:dyDescent="0.35"/>
    <row r="109" ht="12.9" customHeight="1" x14ac:dyDescent="0.35"/>
    <row r="110" ht="12.9" customHeight="1" x14ac:dyDescent="0.35"/>
    <row r="111" ht="12.9" customHeight="1" x14ac:dyDescent="0.35"/>
    <row r="112" ht="12.9" customHeight="1" x14ac:dyDescent="0.35"/>
    <row r="113" ht="12.9" customHeight="1" x14ac:dyDescent="0.35"/>
    <row r="114" ht="12.9" customHeight="1" x14ac:dyDescent="0.35"/>
    <row r="115" ht="12.9" customHeight="1" x14ac:dyDescent="0.35"/>
    <row r="116" ht="12.9" customHeight="1" x14ac:dyDescent="0.35"/>
    <row r="117" ht="12.9" customHeight="1" x14ac:dyDescent="0.35"/>
    <row r="118" ht="12.9" customHeight="1" x14ac:dyDescent="0.35"/>
    <row r="119" ht="12.9" customHeight="1" x14ac:dyDescent="0.35"/>
    <row r="120" ht="12.9" customHeight="1" x14ac:dyDescent="0.35"/>
    <row r="121" ht="12.9" customHeight="1" x14ac:dyDescent="0.35"/>
    <row r="122" ht="12.9" customHeight="1" x14ac:dyDescent="0.35"/>
    <row r="123" ht="12.9" customHeight="1" x14ac:dyDescent="0.35"/>
    <row r="124" ht="12.9" customHeight="1" x14ac:dyDescent="0.35"/>
    <row r="125" ht="12.9" customHeight="1" x14ac:dyDescent="0.35"/>
    <row r="126" ht="12.9" customHeight="1" x14ac:dyDescent="0.35"/>
    <row r="127" ht="12.9" customHeight="1" x14ac:dyDescent="0.35"/>
    <row r="128" ht="12.9" customHeight="1" x14ac:dyDescent="0.35"/>
    <row r="129" ht="12.9" customHeight="1" x14ac:dyDescent="0.35"/>
    <row r="130" ht="12.9" customHeight="1" x14ac:dyDescent="0.35"/>
    <row r="131" ht="12.9" customHeight="1" x14ac:dyDescent="0.35"/>
    <row r="132" ht="12.9" customHeight="1" x14ac:dyDescent="0.35"/>
    <row r="133" ht="12.9" customHeight="1" x14ac:dyDescent="0.35"/>
    <row r="134" ht="12.9" customHeight="1" x14ac:dyDescent="0.35"/>
    <row r="135" ht="12.9" customHeight="1" x14ac:dyDescent="0.35"/>
    <row r="136" ht="12.9" customHeight="1" x14ac:dyDescent="0.35"/>
    <row r="137" ht="12.9" customHeight="1" x14ac:dyDescent="0.35"/>
    <row r="138" ht="12.9" customHeight="1" x14ac:dyDescent="0.35"/>
    <row r="139" ht="12.9" customHeight="1" x14ac:dyDescent="0.35"/>
    <row r="140" ht="12.9" customHeight="1" x14ac:dyDescent="0.35"/>
    <row r="141" ht="12.9" customHeight="1" x14ac:dyDescent="0.35"/>
    <row r="142" ht="12.9" customHeight="1" x14ac:dyDescent="0.35"/>
    <row r="143" ht="12.9" customHeight="1" x14ac:dyDescent="0.35"/>
    <row r="144" ht="12.9" customHeight="1" x14ac:dyDescent="0.35"/>
    <row r="145" ht="12.9" customHeight="1" x14ac:dyDescent="0.35"/>
    <row r="146" ht="12.9" customHeight="1" x14ac:dyDescent="0.35"/>
    <row r="147" ht="12.9" customHeight="1" x14ac:dyDescent="0.35"/>
    <row r="148" ht="12.9" customHeight="1" x14ac:dyDescent="0.35"/>
    <row r="149" ht="12.9" customHeight="1" x14ac:dyDescent="0.35"/>
    <row r="150" ht="12.9" customHeight="1" x14ac:dyDescent="0.35"/>
    <row r="151" ht="12.9" customHeight="1" x14ac:dyDescent="0.35"/>
    <row r="152" ht="12.9" customHeight="1" x14ac:dyDescent="0.35"/>
    <row r="153" ht="12.9" customHeight="1" x14ac:dyDescent="0.35"/>
    <row r="154" ht="12.9" customHeight="1" x14ac:dyDescent="0.35"/>
    <row r="155" ht="12.9" customHeight="1" x14ac:dyDescent="0.35"/>
    <row r="156" ht="12.9" customHeight="1" x14ac:dyDescent="0.35"/>
    <row r="157" ht="12.9" customHeight="1" x14ac:dyDescent="0.35"/>
    <row r="158" ht="12.9" customHeight="1" x14ac:dyDescent="0.35"/>
    <row r="159" ht="12.9" customHeight="1" x14ac:dyDescent="0.35"/>
    <row r="160" ht="12.9" customHeight="1" x14ac:dyDescent="0.35"/>
    <row r="161" ht="12.9" customHeight="1" x14ac:dyDescent="0.35"/>
    <row r="162" ht="12.9" customHeight="1" x14ac:dyDescent="0.35"/>
    <row r="163" ht="12.9" customHeight="1" x14ac:dyDescent="0.35"/>
    <row r="164" ht="12.9" customHeight="1" x14ac:dyDescent="0.35"/>
    <row r="165" ht="12.9" customHeight="1" x14ac:dyDescent="0.35"/>
    <row r="166" ht="12.9" customHeight="1" x14ac:dyDescent="0.35"/>
    <row r="167" ht="12.9" customHeight="1" x14ac:dyDescent="0.35"/>
    <row r="168" ht="12.9" customHeight="1" x14ac:dyDescent="0.35"/>
    <row r="169" ht="12.9" customHeight="1" x14ac:dyDescent="0.35"/>
    <row r="170" ht="12.9" customHeight="1" x14ac:dyDescent="0.35"/>
    <row r="171" ht="12.9" customHeight="1" x14ac:dyDescent="0.35"/>
    <row r="172" ht="12.9" customHeight="1" x14ac:dyDescent="0.35"/>
    <row r="173" ht="12.9" customHeight="1" x14ac:dyDescent="0.35"/>
    <row r="174" ht="12.9" customHeight="1" x14ac:dyDescent="0.35"/>
    <row r="175" ht="12.9" customHeight="1" x14ac:dyDescent="0.35"/>
    <row r="176" ht="12.9" customHeight="1" x14ac:dyDescent="0.35"/>
    <row r="177" ht="12.9" customHeight="1" x14ac:dyDescent="0.35"/>
    <row r="178" ht="12.9" customHeight="1" x14ac:dyDescent="0.35"/>
    <row r="179" ht="12.9" customHeight="1" x14ac:dyDescent="0.35"/>
    <row r="180" ht="12.9" customHeight="1" x14ac:dyDescent="0.35"/>
    <row r="181" ht="12.9" customHeight="1" x14ac:dyDescent="0.35"/>
    <row r="182" ht="12.9" customHeight="1" x14ac:dyDescent="0.35"/>
    <row r="183" ht="12.9" customHeight="1" x14ac:dyDescent="0.35"/>
    <row r="184" ht="12.9" customHeight="1" x14ac:dyDescent="0.35"/>
    <row r="185" ht="12.9" customHeight="1" x14ac:dyDescent="0.35"/>
    <row r="186" ht="12.9" customHeight="1" x14ac:dyDescent="0.35"/>
    <row r="187" ht="12.9" customHeight="1" x14ac:dyDescent="0.35"/>
    <row r="188" ht="12.9" customHeight="1" x14ac:dyDescent="0.35"/>
    <row r="189" ht="12.9" customHeight="1" x14ac:dyDescent="0.35"/>
    <row r="190" ht="12.9" customHeight="1" x14ac:dyDescent="0.35"/>
    <row r="191" ht="12.9" customHeight="1" x14ac:dyDescent="0.35"/>
    <row r="192" ht="12.9" customHeight="1" x14ac:dyDescent="0.35"/>
    <row r="193" ht="12.9" customHeight="1" x14ac:dyDescent="0.35"/>
    <row r="194" ht="12.9" customHeight="1" x14ac:dyDescent="0.35"/>
    <row r="195" ht="12.9" customHeight="1" x14ac:dyDescent="0.35"/>
    <row r="196" ht="12.9" customHeight="1" x14ac:dyDescent="0.35"/>
    <row r="197" ht="12.9" customHeight="1" x14ac:dyDescent="0.35"/>
    <row r="198" ht="12.9" customHeight="1" x14ac:dyDescent="0.35"/>
    <row r="199" ht="12.9" customHeight="1" x14ac:dyDescent="0.35"/>
    <row r="200" ht="12.9" customHeight="1" x14ac:dyDescent="0.35"/>
    <row r="201" ht="12.9" customHeight="1" x14ac:dyDescent="0.35"/>
    <row r="202" ht="12.9" customHeight="1" x14ac:dyDescent="0.35"/>
    <row r="203" ht="12.9" customHeight="1" x14ac:dyDescent="0.35"/>
    <row r="204" ht="12.9" customHeight="1" x14ac:dyDescent="0.35"/>
    <row r="205" ht="12.9" customHeight="1" x14ac:dyDescent="0.35"/>
    <row r="206" ht="12.9" customHeight="1" x14ac:dyDescent="0.35"/>
    <row r="207" ht="12.9" customHeight="1" x14ac:dyDescent="0.35"/>
    <row r="208" ht="12.9" customHeight="1" x14ac:dyDescent="0.35"/>
    <row r="209" ht="12.9" customHeight="1" x14ac:dyDescent="0.35"/>
    <row r="210" ht="12.9" customHeight="1" x14ac:dyDescent="0.35"/>
    <row r="211" ht="12.9" customHeight="1" x14ac:dyDescent="0.35"/>
    <row r="212" ht="12.9" customHeight="1" x14ac:dyDescent="0.35"/>
    <row r="213" ht="12.9" customHeight="1" x14ac:dyDescent="0.35"/>
    <row r="214" ht="12.9" customHeight="1" x14ac:dyDescent="0.35"/>
    <row r="215" ht="12.9" customHeight="1" x14ac:dyDescent="0.35"/>
    <row r="216" ht="12.9" customHeight="1" x14ac:dyDescent="0.35"/>
    <row r="217" ht="12.9" customHeight="1" x14ac:dyDescent="0.35"/>
    <row r="218" ht="12.9" customHeight="1" x14ac:dyDescent="0.35"/>
    <row r="219" ht="12.9" customHeight="1" x14ac:dyDescent="0.35"/>
    <row r="220" ht="12.9" customHeight="1" x14ac:dyDescent="0.35"/>
    <row r="221" ht="12.9" customHeight="1" x14ac:dyDescent="0.35"/>
    <row r="222" ht="12.9" customHeight="1" x14ac:dyDescent="0.35"/>
    <row r="223" ht="12.9" customHeight="1" x14ac:dyDescent="0.35"/>
    <row r="224" ht="12.9" customHeight="1" x14ac:dyDescent="0.35"/>
    <row r="225" ht="12.9" customHeight="1" x14ac:dyDescent="0.35"/>
    <row r="226" ht="12.9" customHeight="1" x14ac:dyDescent="0.35"/>
    <row r="227" ht="12.9" customHeight="1" x14ac:dyDescent="0.35"/>
    <row r="228" ht="12.9" customHeight="1" x14ac:dyDescent="0.35"/>
    <row r="229" ht="12.9" customHeight="1" x14ac:dyDescent="0.35"/>
    <row r="230" ht="12.9" customHeight="1" x14ac:dyDescent="0.35"/>
    <row r="231" ht="12.9" customHeight="1" x14ac:dyDescent="0.35"/>
    <row r="232" ht="12.9" customHeight="1" x14ac:dyDescent="0.35"/>
    <row r="233" ht="12.9" customHeight="1" x14ac:dyDescent="0.35"/>
    <row r="234" ht="12.9" customHeight="1" x14ac:dyDescent="0.35"/>
    <row r="235" ht="12.9" customHeight="1" x14ac:dyDescent="0.35"/>
    <row r="236" ht="12.9" customHeight="1" x14ac:dyDescent="0.35"/>
    <row r="237" ht="12.9" customHeight="1" x14ac:dyDescent="0.35"/>
    <row r="238" ht="12.9" customHeight="1" x14ac:dyDescent="0.35"/>
    <row r="239" ht="12.9" customHeight="1" x14ac:dyDescent="0.35"/>
    <row r="240" ht="12.9" customHeight="1" x14ac:dyDescent="0.35"/>
    <row r="241" ht="12.9" customHeight="1" x14ac:dyDescent="0.35"/>
    <row r="242" ht="12.9" customHeight="1" x14ac:dyDescent="0.35"/>
    <row r="243" ht="12.9" customHeight="1" x14ac:dyDescent="0.35"/>
    <row r="244" ht="12.9" customHeight="1" x14ac:dyDescent="0.35"/>
    <row r="245" ht="12.9" customHeight="1" x14ac:dyDescent="0.35"/>
    <row r="246" ht="12.9" customHeight="1" x14ac:dyDescent="0.35"/>
    <row r="247" ht="12.9" customHeight="1" x14ac:dyDescent="0.35"/>
    <row r="248" ht="12.9" customHeight="1" x14ac:dyDescent="0.35"/>
    <row r="249" ht="12.9" customHeight="1" x14ac:dyDescent="0.35"/>
    <row r="250" ht="12.9" customHeight="1" x14ac:dyDescent="0.35"/>
    <row r="251" ht="12.9" customHeight="1" x14ac:dyDescent="0.35"/>
    <row r="252" ht="12.9" customHeight="1" x14ac:dyDescent="0.35"/>
    <row r="253" ht="12.9" customHeight="1" x14ac:dyDescent="0.35"/>
    <row r="254" ht="12.9" customHeight="1" x14ac:dyDescent="0.35"/>
    <row r="255" ht="12.9" customHeight="1" x14ac:dyDescent="0.35"/>
    <row r="256" ht="12.9" customHeight="1" x14ac:dyDescent="0.35"/>
    <row r="257" ht="12.9" customHeight="1" x14ac:dyDescent="0.35"/>
    <row r="258" ht="12.9" customHeight="1" x14ac:dyDescent="0.35"/>
    <row r="259" ht="12.9" customHeight="1" x14ac:dyDescent="0.35"/>
    <row r="260" ht="12.9" customHeight="1" x14ac:dyDescent="0.35"/>
    <row r="261" ht="12.9" customHeight="1" x14ac:dyDescent="0.35"/>
    <row r="262" ht="12.9" customHeight="1" x14ac:dyDescent="0.35"/>
    <row r="263" ht="12.9" customHeight="1" x14ac:dyDescent="0.35"/>
    <row r="264" ht="12.9" customHeight="1" x14ac:dyDescent="0.35"/>
    <row r="265" ht="12.9" customHeight="1" x14ac:dyDescent="0.35"/>
    <row r="266" ht="12.9" customHeight="1" x14ac:dyDescent="0.35"/>
    <row r="267" ht="12.9" customHeight="1" x14ac:dyDescent="0.35"/>
    <row r="268" ht="12.9" customHeight="1" x14ac:dyDescent="0.35"/>
    <row r="269" ht="12.9" customHeight="1" x14ac:dyDescent="0.35"/>
    <row r="270" ht="12.9" customHeight="1" x14ac:dyDescent="0.35"/>
    <row r="271" ht="12.9" customHeight="1" x14ac:dyDescent="0.35"/>
    <row r="272" ht="12.9" customHeight="1" x14ac:dyDescent="0.35"/>
    <row r="273" ht="12.9" customHeight="1" x14ac:dyDescent="0.35"/>
    <row r="274" ht="12.9" customHeight="1" x14ac:dyDescent="0.35"/>
    <row r="275" ht="12.9" customHeight="1" x14ac:dyDescent="0.35"/>
    <row r="276" ht="12.9" customHeight="1" x14ac:dyDescent="0.35"/>
    <row r="277" ht="12.9" customHeight="1" x14ac:dyDescent="0.35"/>
    <row r="278" ht="12.9" customHeight="1" x14ac:dyDescent="0.35"/>
    <row r="279" ht="12.9" customHeight="1" x14ac:dyDescent="0.35"/>
    <row r="280" ht="12.9" customHeight="1" x14ac:dyDescent="0.35"/>
    <row r="281" ht="12.9" customHeight="1" x14ac:dyDescent="0.35"/>
    <row r="282" ht="12.9" customHeight="1" x14ac:dyDescent="0.35"/>
    <row r="283" ht="12.9" customHeight="1" x14ac:dyDescent="0.35"/>
    <row r="284" ht="12.9" customHeight="1" x14ac:dyDescent="0.35"/>
    <row r="285" ht="12.9" customHeight="1" x14ac:dyDescent="0.35"/>
    <row r="286" ht="12.9" customHeight="1" x14ac:dyDescent="0.35"/>
    <row r="287" ht="12.9" customHeight="1" x14ac:dyDescent="0.35"/>
    <row r="288" ht="12.9" customHeight="1" x14ac:dyDescent="0.35"/>
    <row r="289" ht="12.9" customHeight="1" x14ac:dyDescent="0.35"/>
    <row r="290" ht="12.9" customHeight="1" x14ac:dyDescent="0.35"/>
    <row r="291" ht="12.9" customHeight="1" x14ac:dyDescent="0.35"/>
    <row r="292" ht="12.9" customHeight="1" x14ac:dyDescent="0.35"/>
    <row r="293" ht="12.9" customHeight="1" x14ac:dyDescent="0.35"/>
    <row r="294" ht="12.9" customHeight="1" x14ac:dyDescent="0.35"/>
    <row r="295" ht="12.9" customHeight="1" x14ac:dyDescent="0.35"/>
    <row r="296" ht="12.9" customHeight="1" x14ac:dyDescent="0.35"/>
    <row r="297" ht="12.9" customHeight="1" x14ac:dyDescent="0.35"/>
    <row r="298" ht="12.9" customHeight="1" x14ac:dyDescent="0.35"/>
    <row r="299" ht="12.9" customHeight="1" x14ac:dyDescent="0.35"/>
    <row r="300" ht="12.9" customHeight="1" x14ac:dyDescent="0.35"/>
    <row r="301" ht="12.9" customHeight="1" x14ac:dyDescent="0.35"/>
    <row r="302" ht="12.9" customHeight="1" x14ac:dyDescent="0.35"/>
    <row r="303" ht="12.9" customHeight="1" x14ac:dyDescent="0.35"/>
    <row r="304" ht="12.9" customHeight="1" x14ac:dyDescent="0.35"/>
    <row r="305" ht="12.9" customHeight="1" x14ac:dyDescent="0.35"/>
    <row r="306" ht="12.9" customHeight="1" x14ac:dyDescent="0.35"/>
    <row r="307" ht="12.9" customHeight="1" x14ac:dyDescent="0.35"/>
    <row r="308" ht="12.9" customHeight="1" x14ac:dyDescent="0.35"/>
    <row r="309" ht="12.9" customHeight="1" x14ac:dyDescent="0.35"/>
    <row r="310" ht="12.9" customHeight="1" x14ac:dyDescent="0.35"/>
    <row r="311" ht="12.9" customHeight="1" x14ac:dyDescent="0.35"/>
    <row r="312" ht="12.9" customHeight="1" x14ac:dyDescent="0.35"/>
    <row r="313" ht="12.9" customHeight="1" x14ac:dyDescent="0.35"/>
    <row r="314" ht="12.9" customHeight="1" x14ac:dyDescent="0.35"/>
    <row r="315" ht="12.9" customHeight="1" x14ac:dyDescent="0.35"/>
    <row r="316" ht="12.9" customHeight="1" x14ac:dyDescent="0.35"/>
    <row r="317" ht="12.9" customHeight="1" x14ac:dyDescent="0.35"/>
    <row r="318" ht="12.9" customHeight="1" x14ac:dyDescent="0.35"/>
    <row r="319" ht="12.9" customHeight="1" x14ac:dyDescent="0.35"/>
    <row r="320" ht="12.9" customHeight="1" x14ac:dyDescent="0.35"/>
    <row r="321" ht="12.9" customHeight="1" x14ac:dyDescent="0.35"/>
  </sheetData>
  <conditionalFormatting sqref="I3">
    <cfRule type="cellIs" dxfId="3" priority="1" operator="equal">
      <formula>FALSE</formula>
    </cfRule>
    <cfRule type="cellIs" dxfId="2" priority="2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32AB-A038-4498-BBF6-91D220C9E3CE}">
  <dimension ref="A1:V321"/>
  <sheetViews>
    <sheetView showGridLines="0" zoomScale="85" zoomScaleNormal="85" workbookViewId="0">
      <selection activeCell="F37" sqref="F37"/>
    </sheetView>
  </sheetViews>
  <sheetFormatPr defaultColWidth="7.08984375" defaultRowHeight="12.5" x14ac:dyDescent="0.35"/>
  <cols>
    <col min="1" max="4" width="3.36328125" style="4" customWidth="1"/>
    <col min="5" max="5" width="36.6328125" style="4" customWidth="1"/>
    <col min="6" max="6" width="42" style="4" customWidth="1"/>
    <col min="7" max="7" width="18.453125" style="4" customWidth="1"/>
    <col min="8" max="22" width="12.6328125" style="4" customWidth="1"/>
    <col min="23" max="25" width="9" style="4" customWidth="1"/>
    <col min="26" max="26" width="10.36328125" style="4" customWidth="1"/>
    <col min="27" max="16384" width="7.08984375" style="4"/>
  </cols>
  <sheetData>
    <row r="1" spans="1:12" ht="12.9" customHeight="1" x14ac:dyDescent="0.35"/>
    <row r="2" spans="1:12" s="5" customFormat="1" ht="12.9" customHeight="1" thickBot="1" x14ac:dyDescent="0.4">
      <c r="A2" s="18"/>
      <c r="E2" s="47"/>
      <c r="F2" s="47"/>
      <c r="G2" s="6"/>
      <c r="H2" s="6"/>
      <c r="I2" s="6"/>
      <c r="J2" s="18"/>
    </row>
    <row r="3" spans="1:12" s="18" customFormat="1" ht="12.9" customHeight="1" thickTop="1" x14ac:dyDescent="0.3">
      <c r="E3" s="52" t="s">
        <v>0</v>
      </c>
      <c r="F3" s="48">
        <f>'Cover sheet'!G10</f>
        <v>0</v>
      </c>
      <c r="G3" s="7"/>
      <c r="H3" s="8" t="s">
        <v>1</v>
      </c>
      <c r="I3" s="18" t="b">
        <f>IF(COUNTIF(12:9756,"FALSE")=0,TRUE,FALSE)</f>
        <v>1</v>
      </c>
      <c r="K3" s="22" t="s">
        <v>30</v>
      </c>
    </row>
    <row r="4" spans="1:12" s="18" customFormat="1" ht="12.9" customHeight="1" x14ac:dyDescent="0.3">
      <c r="E4" s="53" t="s">
        <v>2</v>
      </c>
      <c r="F4" s="49" t="str">
        <f ca="1">'Cover sheet'!G11</f>
        <v>Template for dentist survey output.xlsx</v>
      </c>
      <c r="G4" s="55" t="s">
        <v>38</v>
      </c>
      <c r="K4" s="19" t="s">
        <v>23</v>
      </c>
      <c r="L4" s="39" t="s">
        <v>35</v>
      </c>
    </row>
    <row r="5" spans="1:12" s="18" customFormat="1" ht="12.9" customHeight="1" x14ac:dyDescent="0.3">
      <c r="E5" s="53" t="s">
        <v>22</v>
      </c>
      <c r="F5" s="49" t="str" cm="1">
        <f t="array" aca="1" ref="F5" ca="1">IFERROR(RIGHT(CELL("filename"),(LEN(CELL("filename"))-FIND("sites/",CELL("filename")))-5),"Waiting for file to save online")</f>
        <v>ADT001ArdentisVCDD/Shared Documents/ADT001 Ardentis VCDD/Survey/Dentists survey/[Template for dentist survey output.xlsx]Template for responses</v>
      </c>
      <c r="G5" s="55" t="s">
        <v>38</v>
      </c>
      <c r="K5" s="20" t="s">
        <v>31</v>
      </c>
      <c r="L5" s="41" t="s">
        <v>36</v>
      </c>
    </row>
    <row r="6" spans="1:12" s="18" customFormat="1" ht="12.9" customHeight="1" x14ac:dyDescent="0.3">
      <c r="E6" s="53" t="s">
        <v>8</v>
      </c>
      <c r="F6" s="49" t="str">
        <f ca="1">RIGHT(CELL("filename",D9),LEN(CELL("filename",D9))-FIND("]",CELL("filename",D9)))</f>
        <v>Analysis1</v>
      </c>
      <c r="G6" s="7"/>
      <c r="H6" s="9" t="s">
        <v>17</v>
      </c>
      <c r="K6" s="40" t="s">
        <v>32</v>
      </c>
      <c r="L6" s="42" t="s">
        <v>28</v>
      </c>
    </row>
    <row r="7" spans="1:12" s="18" customFormat="1" ht="12.9" customHeight="1" x14ac:dyDescent="0.3">
      <c r="E7" s="53" t="s">
        <v>3</v>
      </c>
      <c r="F7" s="50" t="str">
        <f>'Cover sheet'!G13</f>
        <v>[Date created]</v>
      </c>
      <c r="G7" s="10"/>
      <c r="H7" s="11" t="s">
        <v>15</v>
      </c>
      <c r="K7" s="45" t="s">
        <v>33</v>
      </c>
      <c r="L7" s="43" t="s">
        <v>37</v>
      </c>
    </row>
    <row r="8" spans="1:12" s="18" customFormat="1" ht="12.9" customHeight="1" x14ac:dyDescent="0.3">
      <c r="E8" s="53" t="s">
        <v>4</v>
      </c>
      <c r="F8" s="50" t="str">
        <f>'Cover sheet'!G14</f>
        <v>[Author's name]</v>
      </c>
      <c r="G8" s="10"/>
      <c r="H8" s="18" t="s">
        <v>16</v>
      </c>
      <c r="K8" s="38" t="s">
        <v>34</v>
      </c>
      <c r="L8" s="21"/>
    </row>
    <row r="9" spans="1:12" s="18" customFormat="1" ht="12.9" customHeight="1" x14ac:dyDescent="0.3">
      <c r="E9" s="53" t="s">
        <v>5</v>
      </c>
      <c r="F9" s="50" t="str">
        <f>'Cover sheet'!G15</f>
        <v>[Date updated]</v>
      </c>
      <c r="G9" s="10"/>
      <c r="H9" s="12" t="s">
        <v>14</v>
      </c>
    </row>
    <row r="10" spans="1:12" s="18" customFormat="1" ht="12.9" customHeight="1" thickBot="1" x14ac:dyDescent="0.35">
      <c r="E10" s="54" t="s">
        <v>6</v>
      </c>
      <c r="F10" s="51" t="str">
        <f>'Cover sheet'!G16</f>
        <v>[Updated by]</v>
      </c>
      <c r="G10" s="7"/>
    </row>
    <row r="11" spans="1:12" ht="12.9" customHeight="1" thickTop="1" x14ac:dyDescent="0.35"/>
    <row r="12" spans="1:12" s="13" customFormat="1" ht="12.9" customHeight="1" x14ac:dyDescent="0.3">
      <c r="B12" s="13" t="s">
        <v>19</v>
      </c>
    </row>
    <row r="13" spans="1:12" ht="12.9" customHeight="1" x14ac:dyDescent="0.35"/>
    <row r="14" spans="1:12" s="14" customFormat="1" ht="12.9" customHeight="1" x14ac:dyDescent="0.35">
      <c r="B14" s="15"/>
      <c r="C14" s="16" t="s">
        <v>20</v>
      </c>
    </row>
    <row r="15" spans="1:12" ht="12.9" customHeight="1" x14ac:dyDescent="0.35">
      <c r="D15" s="4" t="s">
        <v>18</v>
      </c>
    </row>
    <row r="16" spans="1:12" s="17" customFormat="1" ht="12.9" customHeight="1" x14ac:dyDescent="0.35">
      <c r="D16" s="37" t="s">
        <v>21</v>
      </c>
    </row>
    <row r="17" spans="1:22" ht="12.9" customHeight="1" x14ac:dyDescent="0.35"/>
    <row r="18" spans="1:22" ht="12.9" customHeight="1" x14ac:dyDescent="0.35">
      <c r="E18" s="23" t="s">
        <v>24</v>
      </c>
    </row>
    <row r="19" spans="1:22" ht="12.9" customHeight="1" x14ac:dyDescent="0.35">
      <c r="E19" s="23"/>
      <c r="H19" s="44" t="s">
        <v>26</v>
      </c>
      <c r="I19" s="24"/>
      <c r="J19" s="24"/>
      <c r="K19" s="24"/>
      <c r="L19" s="24"/>
      <c r="M19" s="36" t="s">
        <v>27</v>
      </c>
      <c r="N19" s="25"/>
      <c r="O19" s="25"/>
      <c r="P19" s="25"/>
      <c r="Q19" s="25"/>
      <c r="R19" s="26"/>
      <c r="S19" s="26"/>
      <c r="T19" s="26"/>
      <c r="U19" s="26"/>
      <c r="V19" s="26"/>
    </row>
    <row r="20" spans="1:22" ht="12.9" customHeight="1" x14ac:dyDescent="0.35">
      <c r="H20" s="28">
        <v>2020</v>
      </c>
      <c r="I20" s="28">
        <f>H20+1</f>
        <v>2021</v>
      </c>
      <c r="J20" s="28">
        <f t="shared" ref="J20:Q20" si="0">I20+1</f>
        <v>2022</v>
      </c>
      <c r="K20" s="28">
        <f t="shared" si="0"/>
        <v>2023</v>
      </c>
      <c r="L20" s="28">
        <f t="shared" si="0"/>
        <v>2024</v>
      </c>
      <c r="M20" s="28">
        <f t="shared" si="0"/>
        <v>2025</v>
      </c>
      <c r="N20" s="28">
        <f t="shared" si="0"/>
        <v>2026</v>
      </c>
      <c r="O20" s="28">
        <f t="shared" si="0"/>
        <v>2027</v>
      </c>
      <c r="P20" s="28">
        <f t="shared" si="0"/>
        <v>2028</v>
      </c>
      <c r="Q20" s="28">
        <f t="shared" si="0"/>
        <v>2029</v>
      </c>
      <c r="R20" s="27"/>
      <c r="S20" s="27"/>
      <c r="T20" s="27"/>
      <c r="U20" s="27"/>
      <c r="V20" s="27"/>
    </row>
    <row r="21" spans="1:22" ht="12.9" customHeight="1" x14ac:dyDescent="0.35">
      <c r="F21" s="4" t="s">
        <v>25</v>
      </c>
      <c r="G21" s="4" t="s">
        <v>29</v>
      </c>
    </row>
    <row r="22" spans="1:22" ht="12.9" customHeight="1" x14ac:dyDescent="0.35">
      <c r="F22" s="4" t="s">
        <v>25</v>
      </c>
      <c r="G22" s="4" t="s">
        <v>29</v>
      </c>
    </row>
    <row r="23" spans="1:22" ht="12.9" customHeight="1" x14ac:dyDescent="0.35">
      <c r="F23" s="4" t="s">
        <v>25</v>
      </c>
      <c r="G23" s="4" t="s">
        <v>29</v>
      </c>
    </row>
    <row r="24" spans="1:22" ht="12.9" customHeight="1" x14ac:dyDescent="0.35">
      <c r="F24" s="4" t="s">
        <v>25</v>
      </c>
      <c r="G24" s="4" t="s">
        <v>29</v>
      </c>
    </row>
    <row r="25" spans="1:22" ht="12.9" customHeight="1" x14ac:dyDescent="0.35"/>
    <row r="26" spans="1:22" ht="12.9" customHeight="1" x14ac:dyDescent="0.35"/>
    <row r="27" spans="1:22" ht="12.9" customHeight="1" x14ac:dyDescent="0.35"/>
    <row r="28" spans="1:22" s="13" customFormat="1" ht="12.9" customHeight="1" x14ac:dyDescent="0.3">
      <c r="A28" s="13" t="s">
        <v>7</v>
      </c>
      <c r="B28" s="13" t="s">
        <v>7</v>
      </c>
      <c r="C28" s="13" t="s">
        <v>7</v>
      </c>
      <c r="D28" s="13" t="s">
        <v>7</v>
      </c>
      <c r="E28" s="13" t="s">
        <v>7</v>
      </c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  <c r="O28" s="13" t="s">
        <v>7</v>
      </c>
      <c r="P28" s="13" t="s">
        <v>7</v>
      </c>
      <c r="Q28" s="13" t="s">
        <v>7</v>
      </c>
      <c r="R28" s="13" t="s">
        <v>7</v>
      </c>
      <c r="S28" s="13" t="s">
        <v>7</v>
      </c>
      <c r="T28" s="13" t="s">
        <v>7</v>
      </c>
      <c r="U28" s="13" t="s">
        <v>7</v>
      </c>
      <c r="V28" s="13" t="s">
        <v>7</v>
      </c>
    </row>
    <row r="29" spans="1:22" ht="12.9" customHeight="1" x14ac:dyDescent="0.35"/>
    <row r="30" spans="1:22" ht="12.9" customHeight="1" x14ac:dyDescent="0.35"/>
    <row r="31" spans="1:22" ht="12.9" customHeight="1" x14ac:dyDescent="0.35"/>
    <row r="32" spans="1:22" ht="12.9" customHeight="1" x14ac:dyDescent="0.35"/>
    <row r="33" ht="12.9" customHeight="1" x14ac:dyDescent="0.35"/>
    <row r="34" ht="12.9" customHeight="1" x14ac:dyDescent="0.35"/>
    <row r="35" ht="12.9" customHeight="1" x14ac:dyDescent="0.35"/>
    <row r="36" ht="12.9" customHeight="1" x14ac:dyDescent="0.35"/>
    <row r="37" ht="12.9" customHeight="1" x14ac:dyDescent="0.35"/>
    <row r="38" ht="12.9" customHeight="1" x14ac:dyDescent="0.35"/>
    <row r="39" ht="12.9" customHeight="1" x14ac:dyDescent="0.35"/>
    <row r="40" ht="12.9" customHeight="1" x14ac:dyDescent="0.35"/>
    <row r="41" ht="12.9" customHeight="1" x14ac:dyDescent="0.35"/>
    <row r="42" ht="12.9" customHeight="1" x14ac:dyDescent="0.35"/>
    <row r="43" ht="12.9" customHeight="1" x14ac:dyDescent="0.35"/>
    <row r="44" ht="12.9" customHeight="1" x14ac:dyDescent="0.35"/>
    <row r="45" ht="12.9" customHeight="1" x14ac:dyDescent="0.35"/>
    <row r="46" ht="12.9" customHeight="1" x14ac:dyDescent="0.35"/>
    <row r="47" ht="12.9" customHeight="1" x14ac:dyDescent="0.35"/>
    <row r="48" ht="12.9" customHeight="1" x14ac:dyDescent="0.35"/>
    <row r="49" ht="12.9" customHeight="1" x14ac:dyDescent="0.35"/>
    <row r="50" ht="12.9" customHeight="1" x14ac:dyDescent="0.35"/>
    <row r="51" ht="12.9" customHeight="1" x14ac:dyDescent="0.35"/>
    <row r="52" ht="12.9" customHeight="1" x14ac:dyDescent="0.35"/>
    <row r="53" ht="12.9" customHeight="1" x14ac:dyDescent="0.35"/>
    <row r="54" ht="12.9" customHeight="1" x14ac:dyDescent="0.35"/>
    <row r="55" ht="12.9" customHeight="1" x14ac:dyDescent="0.35"/>
    <row r="56" ht="12.9" customHeight="1" x14ac:dyDescent="0.35"/>
    <row r="57" ht="12.9" customHeight="1" x14ac:dyDescent="0.35"/>
    <row r="58" ht="12.9" customHeight="1" x14ac:dyDescent="0.35"/>
    <row r="59" ht="12.9" customHeight="1" x14ac:dyDescent="0.35"/>
    <row r="60" ht="12.9" customHeight="1" x14ac:dyDescent="0.35"/>
    <row r="61" ht="12.9" customHeight="1" x14ac:dyDescent="0.35"/>
    <row r="62" ht="12.9" customHeight="1" x14ac:dyDescent="0.35"/>
    <row r="63" ht="12.9" customHeight="1" x14ac:dyDescent="0.35"/>
    <row r="64" ht="12.9" customHeight="1" x14ac:dyDescent="0.35"/>
    <row r="65" ht="12.9" customHeight="1" x14ac:dyDescent="0.35"/>
    <row r="66" ht="12.9" customHeight="1" x14ac:dyDescent="0.35"/>
    <row r="67" ht="12.9" customHeight="1" x14ac:dyDescent="0.35"/>
    <row r="68" ht="12.9" customHeight="1" x14ac:dyDescent="0.35"/>
    <row r="69" ht="12.9" customHeight="1" x14ac:dyDescent="0.35"/>
    <row r="70" ht="12.9" customHeight="1" x14ac:dyDescent="0.35"/>
    <row r="71" ht="12.9" customHeight="1" x14ac:dyDescent="0.35"/>
    <row r="72" ht="12.9" customHeight="1" x14ac:dyDescent="0.35"/>
    <row r="73" ht="12.9" customHeight="1" x14ac:dyDescent="0.35"/>
    <row r="74" ht="12.9" customHeight="1" x14ac:dyDescent="0.35"/>
    <row r="75" ht="12.9" customHeight="1" x14ac:dyDescent="0.35"/>
    <row r="76" ht="12.9" customHeight="1" x14ac:dyDescent="0.35"/>
    <row r="77" ht="12.9" customHeight="1" x14ac:dyDescent="0.35"/>
    <row r="78" ht="12.9" customHeight="1" x14ac:dyDescent="0.35"/>
    <row r="79" ht="12.9" customHeight="1" x14ac:dyDescent="0.35"/>
    <row r="80" ht="12.9" customHeight="1" x14ac:dyDescent="0.35"/>
    <row r="81" ht="12.9" customHeight="1" x14ac:dyDescent="0.35"/>
    <row r="82" ht="12.9" customHeight="1" x14ac:dyDescent="0.35"/>
    <row r="83" ht="12.9" customHeight="1" x14ac:dyDescent="0.35"/>
    <row r="84" ht="12.9" customHeight="1" x14ac:dyDescent="0.35"/>
    <row r="85" ht="12.9" customHeight="1" x14ac:dyDescent="0.35"/>
    <row r="86" ht="12.9" customHeight="1" x14ac:dyDescent="0.35"/>
    <row r="87" ht="12.9" customHeight="1" x14ac:dyDescent="0.35"/>
    <row r="88" ht="12.9" customHeight="1" x14ac:dyDescent="0.35"/>
    <row r="89" ht="12.9" customHeight="1" x14ac:dyDescent="0.35"/>
    <row r="90" ht="12.9" customHeight="1" x14ac:dyDescent="0.35"/>
    <row r="91" ht="12.9" customHeight="1" x14ac:dyDescent="0.35"/>
    <row r="92" ht="12.9" customHeight="1" x14ac:dyDescent="0.35"/>
    <row r="93" ht="12.9" customHeight="1" x14ac:dyDescent="0.35"/>
    <row r="94" ht="12.9" customHeight="1" x14ac:dyDescent="0.35"/>
    <row r="95" ht="12.9" customHeight="1" x14ac:dyDescent="0.35"/>
    <row r="96" ht="12.9" customHeight="1" x14ac:dyDescent="0.35"/>
    <row r="97" ht="12.9" customHeight="1" x14ac:dyDescent="0.35"/>
    <row r="98" ht="12.9" customHeight="1" x14ac:dyDescent="0.35"/>
    <row r="99" ht="12.9" customHeight="1" x14ac:dyDescent="0.35"/>
    <row r="100" ht="12.9" customHeight="1" x14ac:dyDescent="0.35"/>
    <row r="101" ht="12.9" customHeight="1" x14ac:dyDescent="0.35"/>
    <row r="102" ht="12.9" customHeight="1" x14ac:dyDescent="0.35"/>
    <row r="103" ht="12.9" customHeight="1" x14ac:dyDescent="0.35"/>
    <row r="104" ht="12.9" customHeight="1" x14ac:dyDescent="0.35"/>
    <row r="105" ht="12.9" customHeight="1" x14ac:dyDescent="0.35"/>
    <row r="106" ht="12.9" customHeight="1" x14ac:dyDescent="0.35"/>
    <row r="107" ht="12.9" customHeight="1" x14ac:dyDescent="0.35"/>
    <row r="108" ht="12.9" customHeight="1" x14ac:dyDescent="0.35"/>
    <row r="109" ht="12.9" customHeight="1" x14ac:dyDescent="0.35"/>
    <row r="110" ht="12.9" customHeight="1" x14ac:dyDescent="0.35"/>
    <row r="111" ht="12.9" customHeight="1" x14ac:dyDescent="0.35"/>
    <row r="112" ht="12.9" customHeight="1" x14ac:dyDescent="0.35"/>
    <row r="113" ht="12.9" customHeight="1" x14ac:dyDescent="0.35"/>
    <row r="114" ht="12.9" customHeight="1" x14ac:dyDescent="0.35"/>
    <row r="115" ht="12.9" customHeight="1" x14ac:dyDescent="0.35"/>
    <row r="116" ht="12.9" customHeight="1" x14ac:dyDescent="0.35"/>
    <row r="117" ht="12.9" customHeight="1" x14ac:dyDescent="0.35"/>
    <row r="118" ht="12.9" customHeight="1" x14ac:dyDescent="0.35"/>
    <row r="119" ht="12.9" customHeight="1" x14ac:dyDescent="0.35"/>
    <row r="120" ht="12.9" customHeight="1" x14ac:dyDescent="0.35"/>
    <row r="121" ht="12.9" customHeight="1" x14ac:dyDescent="0.35"/>
    <row r="122" ht="12.9" customHeight="1" x14ac:dyDescent="0.35"/>
    <row r="123" ht="12.9" customHeight="1" x14ac:dyDescent="0.35"/>
    <row r="124" ht="12.9" customHeight="1" x14ac:dyDescent="0.35"/>
    <row r="125" ht="12.9" customHeight="1" x14ac:dyDescent="0.35"/>
    <row r="126" ht="12.9" customHeight="1" x14ac:dyDescent="0.35"/>
    <row r="127" ht="12.9" customHeight="1" x14ac:dyDescent="0.35"/>
    <row r="128" ht="12.9" customHeight="1" x14ac:dyDescent="0.35"/>
    <row r="129" ht="12.9" customHeight="1" x14ac:dyDescent="0.35"/>
    <row r="130" ht="12.9" customHeight="1" x14ac:dyDescent="0.35"/>
    <row r="131" ht="12.9" customHeight="1" x14ac:dyDescent="0.35"/>
    <row r="132" ht="12.9" customHeight="1" x14ac:dyDescent="0.35"/>
    <row r="133" ht="12.9" customHeight="1" x14ac:dyDescent="0.35"/>
    <row r="134" ht="12.9" customHeight="1" x14ac:dyDescent="0.35"/>
    <row r="135" ht="12.9" customHeight="1" x14ac:dyDescent="0.35"/>
    <row r="136" ht="12.9" customHeight="1" x14ac:dyDescent="0.35"/>
    <row r="137" ht="12.9" customHeight="1" x14ac:dyDescent="0.35"/>
    <row r="138" ht="12.9" customHeight="1" x14ac:dyDescent="0.35"/>
    <row r="139" ht="12.9" customHeight="1" x14ac:dyDescent="0.35"/>
    <row r="140" ht="12.9" customHeight="1" x14ac:dyDescent="0.35"/>
    <row r="141" ht="12.9" customHeight="1" x14ac:dyDescent="0.35"/>
    <row r="142" ht="12.9" customHeight="1" x14ac:dyDescent="0.35"/>
    <row r="143" ht="12.9" customHeight="1" x14ac:dyDescent="0.35"/>
    <row r="144" ht="12.9" customHeight="1" x14ac:dyDescent="0.35"/>
    <row r="145" ht="12.9" customHeight="1" x14ac:dyDescent="0.35"/>
    <row r="146" ht="12.9" customHeight="1" x14ac:dyDescent="0.35"/>
    <row r="147" ht="12.9" customHeight="1" x14ac:dyDescent="0.35"/>
    <row r="148" ht="12.9" customHeight="1" x14ac:dyDescent="0.35"/>
    <row r="149" ht="12.9" customHeight="1" x14ac:dyDescent="0.35"/>
    <row r="150" ht="12.9" customHeight="1" x14ac:dyDescent="0.35"/>
    <row r="151" ht="12.9" customHeight="1" x14ac:dyDescent="0.35"/>
    <row r="152" ht="12.9" customHeight="1" x14ac:dyDescent="0.35"/>
    <row r="153" ht="12.9" customHeight="1" x14ac:dyDescent="0.35"/>
    <row r="154" ht="12.9" customHeight="1" x14ac:dyDescent="0.35"/>
    <row r="155" ht="12.9" customHeight="1" x14ac:dyDescent="0.35"/>
    <row r="156" ht="12.9" customHeight="1" x14ac:dyDescent="0.35"/>
    <row r="157" ht="12.9" customHeight="1" x14ac:dyDescent="0.35"/>
    <row r="158" ht="12.9" customHeight="1" x14ac:dyDescent="0.35"/>
    <row r="159" ht="12.9" customHeight="1" x14ac:dyDescent="0.35"/>
    <row r="160" ht="12.9" customHeight="1" x14ac:dyDescent="0.35"/>
    <row r="161" ht="12.9" customHeight="1" x14ac:dyDescent="0.35"/>
    <row r="162" ht="12.9" customHeight="1" x14ac:dyDescent="0.35"/>
    <row r="163" ht="12.9" customHeight="1" x14ac:dyDescent="0.35"/>
    <row r="164" ht="12.9" customHeight="1" x14ac:dyDescent="0.35"/>
    <row r="165" ht="12.9" customHeight="1" x14ac:dyDescent="0.35"/>
    <row r="166" ht="12.9" customHeight="1" x14ac:dyDescent="0.35"/>
    <row r="167" ht="12.9" customHeight="1" x14ac:dyDescent="0.35"/>
    <row r="168" ht="12.9" customHeight="1" x14ac:dyDescent="0.35"/>
    <row r="169" ht="12.9" customHeight="1" x14ac:dyDescent="0.35"/>
    <row r="170" ht="12.9" customHeight="1" x14ac:dyDescent="0.35"/>
    <row r="171" ht="12.9" customHeight="1" x14ac:dyDescent="0.35"/>
    <row r="172" ht="12.9" customHeight="1" x14ac:dyDescent="0.35"/>
    <row r="173" ht="12.9" customHeight="1" x14ac:dyDescent="0.35"/>
    <row r="174" ht="12.9" customHeight="1" x14ac:dyDescent="0.35"/>
    <row r="175" ht="12.9" customHeight="1" x14ac:dyDescent="0.35"/>
    <row r="176" ht="12.9" customHeight="1" x14ac:dyDescent="0.35"/>
    <row r="177" ht="12.9" customHeight="1" x14ac:dyDescent="0.35"/>
    <row r="178" ht="12.9" customHeight="1" x14ac:dyDescent="0.35"/>
    <row r="179" ht="12.9" customHeight="1" x14ac:dyDescent="0.35"/>
    <row r="180" ht="12.9" customHeight="1" x14ac:dyDescent="0.35"/>
    <row r="181" ht="12.9" customHeight="1" x14ac:dyDescent="0.35"/>
    <row r="182" ht="12.9" customHeight="1" x14ac:dyDescent="0.35"/>
    <row r="183" ht="12.9" customHeight="1" x14ac:dyDescent="0.35"/>
    <row r="184" ht="12.9" customHeight="1" x14ac:dyDescent="0.35"/>
    <row r="185" ht="12.9" customHeight="1" x14ac:dyDescent="0.35"/>
    <row r="186" ht="12.9" customHeight="1" x14ac:dyDescent="0.35"/>
    <row r="187" ht="12.9" customHeight="1" x14ac:dyDescent="0.35"/>
    <row r="188" ht="12.9" customHeight="1" x14ac:dyDescent="0.35"/>
    <row r="189" ht="12.9" customHeight="1" x14ac:dyDescent="0.35"/>
    <row r="190" ht="12.9" customHeight="1" x14ac:dyDescent="0.35"/>
    <row r="191" ht="12.9" customHeight="1" x14ac:dyDescent="0.35"/>
    <row r="192" ht="12.9" customHeight="1" x14ac:dyDescent="0.35"/>
    <row r="193" ht="12.9" customHeight="1" x14ac:dyDescent="0.35"/>
    <row r="194" ht="12.9" customHeight="1" x14ac:dyDescent="0.35"/>
    <row r="195" ht="12.9" customHeight="1" x14ac:dyDescent="0.35"/>
    <row r="196" ht="12.9" customHeight="1" x14ac:dyDescent="0.35"/>
    <row r="197" ht="12.9" customHeight="1" x14ac:dyDescent="0.35"/>
    <row r="198" ht="12.9" customHeight="1" x14ac:dyDescent="0.35"/>
    <row r="199" ht="12.9" customHeight="1" x14ac:dyDescent="0.35"/>
    <row r="200" ht="12.9" customHeight="1" x14ac:dyDescent="0.35"/>
    <row r="201" ht="12.9" customHeight="1" x14ac:dyDescent="0.35"/>
    <row r="202" ht="12.9" customHeight="1" x14ac:dyDescent="0.35"/>
    <row r="203" ht="12.9" customHeight="1" x14ac:dyDescent="0.35"/>
    <row r="204" ht="12.9" customHeight="1" x14ac:dyDescent="0.35"/>
    <row r="205" ht="12.9" customHeight="1" x14ac:dyDescent="0.35"/>
    <row r="206" ht="12.9" customHeight="1" x14ac:dyDescent="0.35"/>
    <row r="207" ht="12.9" customHeight="1" x14ac:dyDescent="0.35"/>
    <row r="208" ht="12.9" customHeight="1" x14ac:dyDescent="0.35"/>
    <row r="209" ht="12.9" customHeight="1" x14ac:dyDescent="0.35"/>
    <row r="210" ht="12.9" customHeight="1" x14ac:dyDescent="0.35"/>
    <row r="211" ht="12.9" customHeight="1" x14ac:dyDescent="0.35"/>
    <row r="212" ht="12.9" customHeight="1" x14ac:dyDescent="0.35"/>
    <row r="213" ht="12.9" customHeight="1" x14ac:dyDescent="0.35"/>
    <row r="214" ht="12.9" customHeight="1" x14ac:dyDescent="0.35"/>
    <row r="215" ht="12.9" customHeight="1" x14ac:dyDescent="0.35"/>
    <row r="216" ht="12.9" customHeight="1" x14ac:dyDescent="0.35"/>
    <row r="217" ht="12.9" customHeight="1" x14ac:dyDescent="0.35"/>
    <row r="218" ht="12.9" customHeight="1" x14ac:dyDescent="0.35"/>
    <row r="219" ht="12.9" customHeight="1" x14ac:dyDescent="0.35"/>
    <row r="220" ht="12.9" customHeight="1" x14ac:dyDescent="0.35"/>
    <row r="221" ht="12.9" customHeight="1" x14ac:dyDescent="0.35"/>
    <row r="222" ht="12.9" customHeight="1" x14ac:dyDescent="0.35"/>
    <row r="223" ht="12.9" customHeight="1" x14ac:dyDescent="0.35"/>
    <row r="224" ht="12.9" customHeight="1" x14ac:dyDescent="0.35"/>
    <row r="225" ht="12.9" customHeight="1" x14ac:dyDescent="0.35"/>
    <row r="226" ht="12.9" customHeight="1" x14ac:dyDescent="0.35"/>
    <row r="227" ht="12.9" customHeight="1" x14ac:dyDescent="0.35"/>
    <row r="228" ht="12.9" customHeight="1" x14ac:dyDescent="0.35"/>
    <row r="229" ht="12.9" customHeight="1" x14ac:dyDescent="0.35"/>
    <row r="230" ht="12.9" customHeight="1" x14ac:dyDescent="0.35"/>
    <row r="231" ht="12.9" customHeight="1" x14ac:dyDescent="0.35"/>
    <row r="232" ht="12.9" customHeight="1" x14ac:dyDescent="0.35"/>
    <row r="233" ht="12.9" customHeight="1" x14ac:dyDescent="0.35"/>
    <row r="234" ht="12.9" customHeight="1" x14ac:dyDescent="0.35"/>
    <row r="235" ht="12.9" customHeight="1" x14ac:dyDescent="0.35"/>
    <row r="236" ht="12.9" customHeight="1" x14ac:dyDescent="0.35"/>
    <row r="237" ht="12.9" customHeight="1" x14ac:dyDescent="0.35"/>
    <row r="238" ht="12.9" customHeight="1" x14ac:dyDescent="0.35"/>
    <row r="239" ht="12.9" customHeight="1" x14ac:dyDescent="0.35"/>
    <row r="240" ht="12.9" customHeight="1" x14ac:dyDescent="0.35"/>
    <row r="241" ht="12.9" customHeight="1" x14ac:dyDescent="0.35"/>
    <row r="242" ht="12.9" customHeight="1" x14ac:dyDescent="0.35"/>
    <row r="243" ht="12.9" customHeight="1" x14ac:dyDescent="0.35"/>
    <row r="244" ht="12.9" customHeight="1" x14ac:dyDescent="0.35"/>
    <row r="245" ht="12.9" customHeight="1" x14ac:dyDescent="0.35"/>
    <row r="246" ht="12.9" customHeight="1" x14ac:dyDescent="0.35"/>
    <row r="247" ht="12.9" customHeight="1" x14ac:dyDescent="0.35"/>
    <row r="248" ht="12.9" customHeight="1" x14ac:dyDescent="0.35"/>
    <row r="249" ht="12.9" customHeight="1" x14ac:dyDescent="0.35"/>
    <row r="250" ht="12.9" customHeight="1" x14ac:dyDescent="0.35"/>
    <row r="251" ht="12.9" customHeight="1" x14ac:dyDescent="0.35"/>
    <row r="252" ht="12.9" customHeight="1" x14ac:dyDescent="0.35"/>
    <row r="253" ht="12.9" customHeight="1" x14ac:dyDescent="0.35"/>
    <row r="254" ht="12.9" customHeight="1" x14ac:dyDescent="0.35"/>
    <row r="255" ht="12.9" customHeight="1" x14ac:dyDescent="0.35"/>
    <row r="256" ht="12.9" customHeight="1" x14ac:dyDescent="0.35"/>
    <row r="257" ht="12.9" customHeight="1" x14ac:dyDescent="0.35"/>
    <row r="258" ht="12.9" customHeight="1" x14ac:dyDescent="0.35"/>
    <row r="259" ht="12.9" customHeight="1" x14ac:dyDescent="0.35"/>
    <row r="260" ht="12.9" customHeight="1" x14ac:dyDescent="0.35"/>
    <row r="261" ht="12.9" customHeight="1" x14ac:dyDescent="0.35"/>
    <row r="262" ht="12.9" customHeight="1" x14ac:dyDescent="0.35"/>
    <row r="263" ht="12.9" customHeight="1" x14ac:dyDescent="0.35"/>
    <row r="264" ht="12.9" customHeight="1" x14ac:dyDescent="0.35"/>
    <row r="265" ht="12.9" customHeight="1" x14ac:dyDescent="0.35"/>
    <row r="266" ht="12.9" customHeight="1" x14ac:dyDescent="0.35"/>
    <row r="267" ht="12.9" customHeight="1" x14ac:dyDescent="0.35"/>
    <row r="268" ht="12.9" customHeight="1" x14ac:dyDescent="0.35"/>
    <row r="269" ht="12.9" customHeight="1" x14ac:dyDescent="0.35"/>
    <row r="270" ht="12.9" customHeight="1" x14ac:dyDescent="0.35"/>
    <row r="271" ht="12.9" customHeight="1" x14ac:dyDescent="0.35"/>
    <row r="272" ht="12.9" customHeight="1" x14ac:dyDescent="0.35"/>
    <row r="273" ht="12.9" customHeight="1" x14ac:dyDescent="0.35"/>
    <row r="274" ht="12.9" customHeight="1" x14ac:dyDescent="0.35"/>
    <row r="275" ht="12.9" customHeight="1" x14ac:dyDescent="0.35"/>
    <row r="276" ht="12.9" customHeight="1" x14ac:dyDescent="0.35"/>
    <row r="277" ht="12.9" customHeight="1" x14ac:dyDescent="0.35"/>
    <row r="278" ht="12.9" customHeight="1" x14ac:dyDescent="0.35"/>
    <row r="279" ht="12.9" customHeight="1" x14ac:dyDescent="0.35"/>
    <row r="280" ht="12.9" customHeight="1" x14ac:dyDescent="0.35"/>
    <row r="281" ht="12.9" customHeight="1" x14ac:dyDescent="0.35"/>
    <row r="282" ht="12.9" customHeight="1" x14ac:dyDescent="0.35"/>
    <row r="283" ht="12.9" customHeight="1" x14ac:dyDescent="0.35"/>
    <row r="284" ht="12.9" customHeight="1" x14ac:dyDescent="0.35"/>
    <row r="285" ht="12.9" customHeight="1" x14ac:dyDescent="0.35"/>
    <row r="286" ht="12.9" customHeight="1" x14ac:dyDescent="0.35"/>
    <row r="287" ht="12.9" customHeight="1" x14ac:dyDescent="0.35"/>
    <row r="288" ht="12.9" customHeight="1" x14ac:dyDescent="0.35"/>
    <row r="289" ht="12.9" customHeight="1" x14ac:dyDescent="0.35"/>
    <row r="290" ht="12.9" customHeight="1" x14ac:dyDescent="0.35"/>
    <row r="291" ht="12.9" customHeight="1" x14ac:dyDescent="0.35"/>
    <row r="292" ht="12.9" customHeight="1" x14ac:dyDescent="0.35"/>
    <row r="293" ht="12.9" customHeight="1" x14ac:dyDescent="0.35"/>
    <row r="294" ht="12.9" customHeight="1" x14ac:dyDescent="0.35"/>
    <row r="295" ht="12.9" customHeight="1" x14ac:dyDescent="0.35"/>
    <row r="296" ht="12.9" customHeight="1" x14ac:dyDescent="0.35"/>
    <row r="297" ht="12.9" customHeight="1" x14ac:dyDescent="0.35"/>
    <row r="298" ht="12.9" customHeight="1" x14ac:dyDescent="0.35"/>
    <row r="299" ht="12.9" customHeight="1" x14ac:dyDescent="0.35"/>
    <row r="300" ht="12.9" customHeight="1" x14ac:dyDescent="0.35"/>
    <row r="301" ht="12.9" customHeight="1" x14ac:dyDescent="0.35"/>
    <row r="302" ht="12.9" customHeight="1" x14ac:dyDescent="0.35"/>
    <row r="303" ht="12.9" customHeight="1" x14ac:dyDescent="0.35"/>
    <row r="304" ht="12.9" customHeight="1" x14ac:dyDescent="0.35"/>
    <row r="305" ht="12.9" customHeight="1" x14ac:dyDescent="0.35"/>
    <row r="306" ht="12.9" customHeight="1" x14ac:dyDescent="0.35"/>
    <row r="307" ht="12.9" customHeight="1" x14ac:dyDescent="0.35"/>
    <row r="308" ht="12.9" customHeight="1" x14ac:dyDescent="0.35"/>
    <row r="309" ht="12.9" customHeight="1" x14ac:dyDescent="0.35"/>
    <row r="310" ht="12.9" customHeight="1" x14ac:dyDescent="0.35"/>
    <row r="311" ht="12.9" customHeight="1" x14ac:dyDescent="0.35"/>
    <row r="312" ht="12.9" customHeight="1" x14ac:dyDescent="0.35"/>
    <row r="313" ht="12.9" customHeight="1" x14ac:dyDescent="0.35"/>
    <row r="314" ht="12.9" customHeight="1" x14ac:dyDescent="0.35"/>
    <row r="315" ht="12.9" customHeight="1" x14ac:dyDescent="0.35"/>
    <row r="316" ht="12.9" customHeight="1" x14ac:dyDescent="0.35"/>
    <row r="317" ht="12.9" customHeight="1" x14ac:dyDescent="0.35"/>
    <row r="318" ht="12.9" customHeight="1" x14ac:dyDescent="0.35"/>
    <row r="319" ht="12.9" customHeight="1" x14ac:dyDescent="0.35"/>
    <row r="320" ht="12.9" customHeight="1" x14ac:dyDescent="0.35"/>
    <row r="321" ht="12.9" customHeight="1" x14ac:dyDescent="0.35"/>
  </sheetData>
  <conditionalFormatting sqref="I3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3077-CC24-40AA-A978-016F4BCDBA2B}">
  <sheetPr>
    <tabColor theme="2"/>
  </sheetPr>
  <dimension ref="B3:E4"/>
  <sheetViews>
    <sheetView workbookViewId="0"/>
  </sheetViews>
  <sheetFormatPr defaultColWidth="9" defaultRowHeight="12.5" x14ac:dyDescent="0.25"/>
  <cols>
    <col min="1" max="4" width="3.36328125" style="29" customWidth="1"/>
    <col min="5" max="16384" width="9" style="29"/>
  </cols>
  <sheetData>
    <row r="3" spans="2:5" ht="28" x14ac:dyDescent="0.6">
      <c r="E3" s="46" t="str">
        <f ca="1">MID(CELL("filename",A1),FIND("]",CELL("filename",A1))+1,255)</f>
        <v>Data &gt;&gt;</v>
      </c>
    </row>
    <row r="4" spans="2:5" x14ac:dyDescent="0.25">
      <c r="B4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59B2-82AF-4637-AF3D-C2C1077CA89D}">
  <dimension ref="A1:BC6"/>
  <sheetViews>
    <sheetView showGridLines="0" tabSelected="1" topLeftCell="AN124" workbookViewId="0">
      <selection activeCell="AP152" sqref="AP152"/>
    </sheetView>
  </sheetViews>
  <sheetFormatPr defaultRowHeight="14.5" x14ac:dyDescent="0.35"/>
  <cols>
    <col min="1" max="47" width="40.7265625" customWidth="1"/>
    <col min="48" max="57" width="30.7265625" customWidth="1"/>
  </cols>
  <sheetData>
    <row r="1" spans="1:55" x14ac:dyDescent="0.35">
      <c r="A1" s="56" t="s">
        <v>39</v>
      </c>
      <c r="B1" s="57" t="s">
        <v>46</v>
      </c>
      <c r="C1" s="57" t="s">
        <v>47</v>
      </c>
      <c r="D1" s="57" t="s">
        <v>48</v>
      </c>
      <c r="E1" s="57" t="s">
        <v>49</v>
      </c>
      <c r="F1" s="57" t="s">
        <v>50</v>
      </c>
      <c r="G1" s="57" t="s">
        <v>51</v>
      </c>
      <c r="H1" s="57" t="s">
        <v>52</v>
      </c>
      <c r="I1" s="57" t="s">
        <v>53</v>
      </c>
      <c r="J1" s="57" t="s">
        <v>54</v>
      </c>
      <c r="K1" s="57" t="s">
        <v>55</v>
      </c>
      <c r="L1" s="57" t="s">
        <v>56</v>
      </c>
      <c r="M1" s="57" t="s">
        <v>57</v>
      </c>
      <c r="N1" s="57" t="s">
        <v>58</v>
      </c>
      <c r="O1" s="57" t="s">
        <v>59</v>
      </c>
      <c r="P1" s="57" t="s">
        <v>60</v>
      </c>
      <c r="Q1" s="57" t="s">
        <v>61</v>
      </c>
      <c r="R1" s="57" t="s">
        <v>62</v>
      </c>
      <c r="S1" s="57" t="s">
        <v>66</v>
      </c>
      <c r="T1" s="57" t="s">
        <v>67</v>
      </c>
      <c r="U1" s="57" t="s">
        <v>68</v>
      </c>
      <c r="V1" s="57" t="s">
        <v>69</v>
      </c>
      <c r="W1" s="57" t="s">
        <v>70</v>
      </c>
      <c r="X1" s="57" t="s">
        <v>71</v>
      </c>
      <c r="Y1" s="57" t="s">
        <v>72</v>
      </c>
      <c r="Z1" s="57" t="s">
        <v>73</v>
      </c>
      <c r="AA1" s="57" t="s">
        <v>74</v>
      </c>
      <c r="AB1" s="57" t="s">
        <v>75</v>
      </c>
      <c r="AC1" s="57" t="s">
        <v>76</v>
      </c>
      <c r="AD1" s="57" t="s">
        <v>77</v>
      </c>
      <c r="AE1" s="57" t="s">
        <v>78</v>
      </c>
      <c r="AF1" s="57" t="s">
        <v>79</v>
      </c>
      <c r="AG1" s="57" t="s">
        <v>63</v>
      </c>
      <c r="AH1" s="57" t="s">
        <v>80</v>
      </c>
      <c r="AI1" s="57" t="s">
        <v>81</v>
      </c>
      <c r="AJ1" s="57" t="s">
        <v>82</v>
      </c>
      <c r="AK1" s="57" t="s">
        <v>83</v>
      </c>
      <c r="AL1" s="57" t="s">
        <v>84</v>
      </c>
      <c r="AM1" s="57" t="s">
        <v>85</v>
      </c>
      <c r="AN1" s="57" t="s">
        <v>86</v>
      </c>
      <c r="AO1" s="57" t="s">
        <v>87</v>
      </c>
      <c r="AP1" s="57" t="s">
        <v>88</v>
      </c>
      <c r="AQ1" s="57" t="s">
        <v>89</v>
      </c>
      <c r="AR1" s="57" t="s">
        <v>90</v>
      </c>
      <c r="AS1" s="57" t="s">
        <v>91</v>
      </c>
      <c r="AT1" s="57" t="s">
        <v>92</v>
      </c>
      <c r="AU1" s="57" t="s">
        <v>93</v>
      </c>
      <c r="AV1" s="57" t="s">
        <v>94</v>
      </c>
      <c r="AW1" s="57" t="s">
        <v>95</v>
      </c>
      <c r="AX1" s="57" t="s">
        <v>96</v>
      </c>
      <c r="AY1" s="57" t="s">
        <v>97</v>
      </c>
      <c r="AZ1" s="57" t="s">
        <v>98</v>
      </c>
      <c r="BA1" s="57" t="s">
        <v>99</v>
      </c>
      <c r="BB1" s="57" t="s">
        <v>100</v>
      </c>
      <c r="BC1" s="57" t="s">
        <v>101</v>
      </c>
    </row>
    <row r="2" spans="1:55" x14ac:dyDescent="0.35">
      <c r="A2" s="58" t="s">
        <v>40</v>
      </c>
      <c r="B2" s="58" t="s">
        <v>43</v>
      </c>
      <c r="C2" s="58">
        <v>2000</v>
      </c>
      <c r="D2" s="58">
        <v>1</v>
      </c>
      <c r="E2" s="58">
        <v>0</v>
      </c>
      <c r="F2" s="58">
        <v>1</v>
      </c>
      <c r="G2" s="58">
        <v>0</v>
      </c>
      <c r="H2" s="58">
        <v>0</v>
      </c>
      <c r="I2" s="58">
        <v>3</v>
      </c>
      <c r="J2" s="58">
        <v>5</v>
      </c>
      <c r="K2" s="58">
        <v>10</v>
      </c>
      <c r="L2" s="58">
        <v>5</v>
      </c>
      <c r="M2" s="58">
        <v>10</v>
      </c>
      <c r="N2" s="58">
        <v>5</v>
      </c>
      <c r="O2" s="58">
        <v>10</v>
      </c>
      <c r="P2" s="58">
        <v>5</v>
      </c>
      <c r="Q2" s="58">
        <v>10</v>
      </c>
      <c r="R2" s="58">
        <v>10</v>
      </c>
      <c r="S2" s="58" t="s">
        <v>103</v>
      </c>
      <c r="T2" s="58" t="s">
        <v>103</v>
      </c>
      <c r="U2" s="58" t="s">
        <v>103</v>
      </c>
      <c r="V2" s="58" t="s">
        <v>103</v>
      </c>
      <c r="W2" s="58" t="s">
        <v>103</v>
      </c>
      <c r="X2" s="58" t="s">
        <v>103</v>
      </c>
      <c r="Y2" s="58" t="s">
        <v>103</v>
      </c>
      <c r="Z2" s="58" t="s">
        <v>103</v>
      </c>
      <c r="AA2" s="58" t="s">
        <v>103</v>
      </c>
      <c r="AB2" s="58" t="s">
        <v>103</v>
      </c>
      <c r="AC2" s="58" t="s">
        <v>103</v>
      </c>
      <c r="AD2" s="58" t="s">
        <v>103</v>
      </c>
      <c r="AE2" s="58" t="s">
        <v>103</v>
      </c>
      <c r="AF2" s="58" t="s">
        <v>103</v>
      </c>
      <c r="AG2" s="58">
        <v>1</v>
      </c>
      <c r="AH2" s="58">
        <v>1</v>
      </c>
      <c r="AI2" s="58">
        <v>1</v>
      </c>
      <c r="AJ2" s="58">
        <v>1</v>
      </c>
      <c r="AK2" s="58">
        <v>1</v>
      </c>
      <c r="AL2" s="58">
        <v>10</v>
      </c>
      <c r="AM2" s="58">
        <v>10</v>
      </c>
      <c r="AN2" s="58">
        <v>20</v>
      </c>
      <c r="AO2" s="58">
        <v>60</v>
      </c>
      <c r="AP2" s="58">
        <v>0</v>
      </c>
      <c r="AQ2" s="58">
        <v>1</v>
      </c>
      <c r="AR2" s="58">
        <v>1</v>
      </c>
      <c r="AS2" s="58">
        <v>1</v>
      </c>
      <c r="AT2" s="58">
        <v>1</v>
      </c>
      <c r="AU2" s="58">
        <v>1</v>
      </c>
      <c r="AV2" s="58">
        <v>10</v>
      </c>
      <c r="AW2" s="58">
        <v>10</v>
      </c>
      <c r="AX2" s="58">
        <v>20</v>
      </c>
      <c r="AY2" s="58">
        <v>60</v>
      </c>
      <c r="AZ2" s="58">
        <v>0</v>
      </c>
      <c r="BA2" s="58" t="s">
        <v>104</v>
      </c>
      <c r="BB2" s="58" t="s">
        <v>105</v>
      </c>
      <c r="BC2" s="58" t="s">
        <v>107</v>
      </c>
    </row>
    <row r="3" spans="1:55" x14ac:dyDescent="0.35">
      <c r="A3" s="58" t="s">
        <v>41</v>
      </c>
      <c r="B3" s="58" t="s">
        <v>44</v>
      </c>
      <c r="C3" s="58">
        <v>1999</v>
      </c>
      <c r="D3" s="58">
        <v>0</v>
      </c>
      <c r="E3" s="58">
        <v>1</v>
      </c>
      <c r="F3" s="58">
        <v>0</v>
      </c>
      <c r="G3" s="58">
        <v>1</v>
      </c>
      <c r="H3" s="58">
        <v>1</v>
      </c>
      <c r="I3" s="58">
        <v>4</v>
      </c>
      <c r="J3" s="58">
        <v>6</v>
      </c>
      <c r="K3" s="58">
        <v>7</v>
      </c>
      <c r="L3" s="58">
        <v>6</v>
      </c>
      <c r="M3" s="58">
        <v>7</v>
      </c>
      <c r="N3" s="58">
        <v>6</v>
      </c>
      <c r="O3" s="58">
        <v>7</v>
      </c>
      <c r="P3" s="58">
        <v>6</v>
      </c>
      <c r="Q3" s="58">
        <v>7</v>
      </c>
      <c r="R3" s="58">
        <v>7</v>
      </c>
      <c r="S3" s="59" t="s">
        <v>64</v>
      </c>
      <c r="T3" s="58">
        <v>0</v>
      </c>
      <c r="U3" s="58">
        <v>1</v>
      </c>
      <c r="V3" s="58">
        <v>1</v>
      </c>
      <c r="W3" s="58">
        <v>1</v>
      </c>
      <c r="X3" s="58">
        <v>1</v>
      </c>
      <c r="Y3" s="58">
        <v>0</v>
      </c>
      <c r="Z3" s="58">
        <v>1</v>
      </c>
      <c r="AA3" s="58"/>
      <c r="AB3" s="58"/>
      <c r="AC3" s="58"/>
      <c r="AD3" s="58"/>
      <c r="AE3" s="58"/>
      <c r="AF3" s="58"/>
      <c r="AG3" s="58">
        <v>1</v>
      </c>
      <c r="AH3" s="58">
        <v>0</v>
      </c>
      <c r="AI3" s="58">
        <v>1</v>
      </c>
      <c r="AJ3" s="58">
        <v>0</v>
      </c>
      <c r="AK3" s="58">
        <v>1</v>
      </c>
      <c r="AL3" s="58">
        <v>10</v>
      </c>
      <c r="AM3" s="58">
        <v>10</v>
      </c>
      <c r="AN3" s="58">
        <v>20</v>
      </c>
      <c r="AO3" s="58">
        <v>60</v>
      </c>
      <c r="AP3" s="58">
        <v>0</v>
      </c>
      <c r="AQ3" s="58">
        <v>1</v>
      </c>
      <c r="AR3" s="58">
        <v>0</v>
      </c>
      <c r="AS3" s="58">
        <v>1</v>
      </c>
      <c r="AT3" s="58">
        <v>1</v>
      </c>
      <c r="AU3" s="58">
        <v>1</v>
      </c>
      <c r="AV3" s="58">
        <v>10</v>
      </c>
      <c r="AW3" s="58">
        <v>10</v>
      </c>
      <c r="AX3" s="58">
        <v>20</v>
      </c>
      <c r="AY3" s="58">
        <v>60</v>
      </c>
      <c r="AZ3" s="58">
        <v>0</v>
      </c>
      <c r="BA3" s="58" t="s">
        <v>103</v>
      </c>
      <c r="BB3" s="58" t="s">
        <v>106</v>
      </c>
      <c r="BC3" s="58" t="s">
        <v>107</v>
      </c>
    </row>
    <row r="4" spans="1:55" x14ac:dyDescent="0.35">
      <c r="A4" s="58" t="s">
        <v>42</v>
      </c>
      <c r="B4" s="58" t="s">
        <v>45</v>
      </c>
      <c r="C4" s="58">
        <v>1998</v>
      </c>
      <c r="D4" s="58">
        <v>0</v>
      </c>
      <c r="E4" s="58">
        <v>1</v>
      </c>
      <c r="F4" s="58">
        <v>0</v>
      </c>
      <c r="G4" s="58">
        <v>1</v>
      </c>
      <c r="H4" s="58">
        <v>1</v>
      </c>
      <c r="I4" s="58">
        <v>5</v>
      </c>
      <c r="J4" s="58">
        <v>7</v>
      </c>
      <c r="K4" s="58">
        <v>8</v>
      </c>
      <c r="L4" s="58">
        <v>7</v>
      </c>
      <c r="M4" s="58">
        <v>8</v>
      </c>
      <c r="N4" s="58">
        <v>7</v>
      </c>
      <c r="O4" s="58">
        <v>8</v>
      </c>
      <c r="P4" s="58">
        <v>7</v>
      </c>
      <c r="Q4" s="58">
        <v>8</v>
      </c>
      <c r="R4" s="58">
        <v>8</v>
      </c>
      <c r="S4" s="58" t="s">
        <v>65</v>
      </c>
      <c r="T4" s="58">
        <v>0</v>
      </c>
      <c r="U4" s="58">
        <v>1</v>
      </c>
      <c r="V4" s="58">
        <v>1</v>
      </c>
      <c r="W4" s="58">
        <v>1</v>
      </c>
      <c r="X4" s="58">
        <v>1</v>
      </c>
      <c r="Y4" s="58">
        <v>0</v>
      </c>
      <c r="Z4" s="58">
        <v>1</v>
      </c>
      <c r="AA4" s="58"/>
      <c r="AB4" s="58"/>
      <c r="AC4" s="58"/>
      <c r="AD4" s="58"/>
      <c r="AE4" s="58"/>
      <c r="AF4" s="58"/>
      <c r="AG4" s="58">
        <v>1</v>
      </c>
      <c r="AH4" s="58">
        <v>1</v>
      </c>
      <c r="AI4" s="58">
        <v>1</v>
      </c>
      <c r="AJ4" s="58">
        <v>1</v>
      </c>
      <c r="AK4" s="58">
        <v>1</v>
      </c>
      <c r="AL4" s="58">
        <v>10</v>
      </c>
      <c r="AM4" s="58">
        <v>10</v>
      </c>
      <c r="AN4" s="58">
        <v>20</v>
      </c>
      <c r="AO4" s="58">
        <v>60</v>
      </c>
      <c r="AP4" s="58">
        <v>0</v>
      </c>
      <c r="AQ4" s="58">
        <v>1</v>
      </c>
      <c r="AR4" s="58">
        <v>1</v>
      </c>
      <c r="AS4" s="58">
        <v>1</v>
      </c>
      <c r="AT4" s="58">
        <v>1</v>
      </c>
      <c r="AU4" s="58">
        <v>1</v>
      </c>
      <c r="AV4" s="58">
        <v>10</v>
      </c>
      <c r="AW4" s="58">
        <v>10</v>
      </c>
      <c r="AX4" s="58">
        <v>20</v>
      </c>
      <c r="AY4" s="58">
        <v>60</v>
      </c>
      <c r="AZ4" s="58">
        <v>0</v>
      </c>
      <c r="BA4" s="58" t="s">
        <v>103</v>
      </c>
      <c r="BB4" s="58" t="s">
        <v>106</v>
      </c>
      <c r="BC4" s="58" t="s">
        <v>107</v>
      </c>
    </row>
    <row r="5" spans="1:55" x14ac:dyDescent="0.35">
      <c r="A5" s="58" t="s">
        <v>102</v>
      </c>
      <c r="B5" s="58" t="s">
        <v>44</v>
      </c>
      <c r="C5" s="58">
        <v>1998</v>
      </c>
      <c r="D5" s="58">
        <v>0</v>
      </c>
      <c r="E5" s="58">
        <v>1</v>
      </c>
      <c r="F5" s="58">
        <v>0</v>
      </c>
      <c r="G5" s="58">
        <v>1</v>
      </c>
      <c r="H5" s="58">
        <v>1</v>
      </c>
      <c r="I5" s="58">
        <v>5</v>
      </c>
      <c r="J5" s="58">
        <v>8</v>
      </c>
      <c r="K5" s="58">
        <v>9</v>
      </c>
      <c r="L5" s="58">
        <v>8</v>
      </c>
      <c r="M5" s="58">
        <v>9</v>
      </c>
      <c r="N5" s="58">
        <v>8</v>
      </c>
      <c r="O5" s="58">
        <v>9</v>
      </c>
      <c r="P5" s="58">
        <v>8</v>
      </c>
      <c r="Q5" s="58">
        <v>9</v>
      </c>
      <c r="R5" s="58">
        <v>9</v>
      </c>
      <c r="S5" s="58" t="s">
        <v>65</v>
      </c>
      <c r="T5" s="58">
        <v>0</v>
      </c>
      <c r="U5" s="58">
        <v>1</v>
      </c>
      <c r="V5" s="58">
        <v>1</v>
      </c>
      <c r="W5" s="58">
        <v>1</v>
      </c>
      <c r="X5" s="58">
        <v>1</v>
      </c>
      <c r="Y5" s="58">
        <v>0</v>
      </c>
      <c r="Z5" s="58">
        <v>1</v>
      </c>
      <c r="AA5" s="58"/>
      <c r="AB5" s="58"/>
      <c r="AC5" s="58"/>
      <c r="AD5" s="58"/>
      <c r="AE5" s="58"/>
      <c r="AF5" s="58"/>
      <c r="AG5" s="58">
        <v>1</v>
      </c>
      <c r="AH5" s="58">
        <v>0</v>
      </c>
      <c r="AI5" s="58">
        <v>1</v>
      </c>
      <c r="AJ5" s="58">
        <v>0</v>
      </c>
      <c r="AK5" s="58">
        <v>1</v>
      </c>
      <c r="AL5" s="58">
        <v>10</v>
      </c>
      <c r="AM5" s="58">
        <v>10</v>
      </c>
      <c r="AN5" s="58">
        <v>20</v>
      </c>
      <c r="AO5" s="58">
        <v>60</v>
      </c>
      <c r="AP5" s="58">
        <v>0</v>
      </c>
      <c r="AQ5" s="58">
        <v>1</v>
      </c>
      <c r="AR5" s="58">
        <v>0</v>
      </c>
      <c r="AS5" s="58">
        <v>1</v>
      </c>
      <c r="AT5" s="58">
        <v>1</v>
      </c>
      <c r="AU5" s="58">
        <v>1</v>
      </c>
      <c r="AV5" s="58">
        <v>10</v>
      </c>
      <c r="AW5" s="58">
        <v>10</v>
      </c>
      <c r="AX5" s="58">
        <v>20</v>
      </c>
      <c r="AY5" s="58">
        <v>60</v>
      </c>
      <c r="AZ5" s="58">
        <v>0</v>
      </c>
      <c r="BA5" s="58" t="s">
        <v>103</v>
      </c>
      <c r="BB5" s="58" t="s">
        <v>106</v>
      </c>
      <c r="BC5" s="58" t="s">
        <v>107</v>
      </c>
    </row>
    <row r="6" spans="1:55" x14ac:dyDescent="0.35">
      <c r="S6" t="s">
        <v>65</v>
      </c>
      <c r="T6">
        <v>0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1BA59337BFE4B92327C851B9D8388" ma:contentTypeVersion="3" ma:contentTypeDescription="Create a new document." ma:contentTypeScope="" ma:versionID="480d2b7ba31f65958fcc7ceb45f413c6">
  <xsd:schema xmlns:xsd="http://www.w3.org/2001/XMLSchema" xmlns:xs="http://www.w3.org/2001/XMLSchema" xmlns:p="http://schemas.microsoft.com/office/2006/metadata/properties" xmlns:ns2="1877794d-f880-465a-9276-9ac6e72e91c8" targetNamespace="http://schemas.microsoft.com/office/2006/metadata/properties" ma:root="true" ma:fieldsID="e757c9865c5e7f14d6b7e091ced6317e" ns2:_="">
    <xsd:import namespace="1877794d-f880-465a-9276-9ac6e72e91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7794d-f880-465a-9276-9ac6e72e9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A4C52E-40BC-42E1-8452-6E780637E3F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AF3C167-3E6E-4814-A678-A4BB75A02026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1877794d-f880-465a-9276-9ac6e72e91c8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AEFDCDE-55D0-45A3-A316-864EB97534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A1E8197-B4FB-4E12-A165-ABE277B0A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77794d-f880-465a-9276-9ac6e72e91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sheet</vt:lpstr>
      <vt:lpstr>Outputs</vt:lpstr>
      <vt:lpstr>Analysis1</vt:lpstr>
      <vt:lpstr>Data &gt;&gt;</vt:lpstr>
      <vt:lpstr>Template for responses</vt:lpstr>
      <vt:lpstr>Analysis1!Link2</vt:lpstr>
      <vt:lpstr>LinkOut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Zeng</dc:creator>
  <cp:lastModifiedBy>Dr Marco Mazevet</cp:lastModifiedBy>
  <dcterms:created xsi:type="dcterms:W3CDTF">2020-10-29T14:22:07Z</dcterms:created>
  <dcterms:modified xsi:type="dcterms:W3CDTF">2026-01-22T07:24:49Z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0x0101003661BA59337BFE4B92327C851B9D8388</vt:lpwstr>
  </property>
  <property fmtid="{D5CDD505-2E9C-101B-9397-08002B2CF9AE}" pid="3" name="MediaServiceImageTags">
    <vt:lpwstr/>
  </property>
</Properties>
</file>